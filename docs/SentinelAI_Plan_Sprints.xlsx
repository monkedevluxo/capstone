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s" sheetId="1" state="visible" r:id="rId3"/>
    <sheet name="Backlog" sheetId="2" state="visible" r:id="rId4"/>
    <sheet name="Riesgos" sheetId="3" state="visible" r:id="rId5"/>
    <sheet name="Leyenda" sheetId="4" state="visible" r:id="rId6"/>
  </sheets>
  <definedNames>
    <definedName function="false" hidden="true" localSheetId="1" name="_xlnm._FilterDatabase" vbProcedure="false">Backlog!$A$1:$L$72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<sst xmlns="http://schemas.openxmlformats.org/spreadsheetml/2006/main" count="903" uniqueCount="374">
  <si>
    <t xml:space="preserve">SentinelAI · Plan de sprints (18 semanas)</t>
  </si>
  <si>
    <t xml:space="preserve">Proyecto de Título · Capstone · Duoc UC · Grupo 3</t>
  </si>
  <si>
    <t xml:space="preserve">Fecha de inicio (lunes de la semana 1):</t>
  </si>
  <si>
    <t xml:space="preserve">← editable. Todas las fechas de abajo se recalculan a partir de esta celda.</t>
  </si>
  <si>
    <t xml:space="preserve">Sprint</t>
  </si>
  <si>
    <t xml:space="preserve">Semanas</t>
  </si>
  <si>
    <t xml:space="preserve">Bloque</t>
  </si>
  <si>
    <t xml:space="preserve">Inicio</t>
  </si>
  <si>
    <t xml:space="preserve">Fin</t>
  </si>
  <si>
    <t xml:space="preserve">Objetivo del sprint</t>
  </si>
  <si>
    <t xml:space="preserve">Hito verificable</t>
  </si>
  <si>
    <t xml:space="preserve">Tareas</t>
  </si>
  <si>
    <t xml:space="preserve">Días est.</t>
  </si>
  <si>
    <t xml:space="preserve">Cerradas</t>
  </si>
  <si>
    <t xml:space="preserve">% Avance</t>
  </si>
  <si>
    <t xml:space="preserve">S1</t>
  </si>
  <si>
    <t xml:space="preserve">1-2</t>
  </si>
  <si>
    <t xml:space="preserve">Laboratorio e ingesta</t>
  </si>
  <si>
    <t xml:space="preserve">Dejar el laboratorio en pie y despejar el riesgo del LLM antes de comprometerse con la arquitectura.</t>
  </si>
  <si>
    <t xml:space="preserve">docker compose up levanta el laboratorio aislado y existe un JSON de ZAP guardado más una medición real de latencia de Ollama.</t>
  </si>
  <si>
    <t xml:space="preserve">S2</t>
  </si>
  <si>
    <t xml:space="preserve">3-4</t>
  </si>
  <si>
    <t xml:space="preserve">Construir el modelo de datos que sostiene todo lo demás.</t>
  </si>
  <si>
    <t xml:space="preserve">alembic upgrade head crea el esquema completo sobre una base vacía y el DER está documentado.</t>
  </si>
  <si>
    <t xml:space="preserve">S3</t>
  </si>
  <si>
    <t xml:space="preserve">5-6</t>
  </si>
  <si>
    <t xml:space="preserve">Cerrar el camino de escaneo a consulta con hallazgos normalizados y sin duplicados.</t>
  </si>
  <si>
    <t xml:space="preserve">HITO 1: se importa un escaneo real de ZAP y se consulta por API con severidad unificada y sin duplicados.</t>
  </si>
  <si>
    <t xml:space="preserve">S4</t>
  </si>
  <si>
    <t xml:space="preserve">7-8</t>
  </si>
  <si>
    <t xml:space="preserve">IA local</t>
  </si>
  <si>
    <t xml:space="preserve">Lograr que el modelo devuelva estructura confiable, no texto libre.</t>
  </si>
  <si>
    <t xml:space="preserve">Un hallazgo entra y sale con explicación, categoría OWASP, prioridad, confianza y remediación, validado por esquema.</t>
  </si>
  <si>
    <t xml:space="preserve">S5</t>
  </si>
  <si>
    <t xml:space="preserve">9-10</t>
  </si>
  <si>
    <t xml:space="preserve">Enriquecer escaneos completos sin bloquear la aplicación y dejando rastro auditable.</t>
  </si>
  <si>
    <t xml:space="preserve">Un escaneo completo se enriquece en segundo plano y cada salida guarda su prompt y versión de modelo.</t>
  </si>
  <si>
    <t xml:space="preserve">S6</t>
  </si>
  <si>
    <t xml:space="preserve">11-12</t>
  </si>
  <si>
    <t xml:space="preserve">Medir la calidad de la IA contra anotación humana. Es lo que convierte la demo en resultado defendible.</t>
  </si>
  <si>
    <t xml:space="preserve">HITO 2: métricas de acierto OWASP, acierto de prioridad y tasa de alucinación, calculadas de forma reproducible.</t>
  </si>
  <si>
    <t xml:space="preserve">S7</t>
  </si>
  <si>
    <t xml:space="preserve">13-14</t>
  </si>
  <si>
    <t xml:space="preserve">Dashboard y cierre</t>
  </si>
  <si>
    <t xml:space="preserve">Hacer visible y filtrable lo que ya funciona por debajo.</t>
  </si>
  <si>
    <t xml:space="preserve">El dashboard muestra el resumen, filtra hallazgos y presenta evidencia original junto a la salida de la IA.</t>
  </si>
  <si>
    <t xml:space="preserve">S8</t>
  </si>
  <si>
    <t xml:space="preserve">15-16</t>
  </si>
  <si>
    <t xml:space="preserve">Cerrar validación humana e informe, y congelar el código.</t>
  </si>
  <si>
    <t xml:space="preserve">Flujo completo de escaneo a informe exportable con validación registrada. Congelamiento al cierre de la semana 16.</t>
  </si>
  <si>
    <t xml:space="preserve">S9</t>
  </si>
  <si>
    <t xml:space="preserve">17-18</t>
  </si>
  <si>
    <t xml:space="preserve">Documentar, reunir evidencias y ensayar la defensa.</t>
  </si>
  <si>
    <t xml:space="preserve">Carpeta de evidencias completa, README reproducible, video de respaldo grabado y presentación ensayada.</t>
  </si>
  <si>
    <t xml:space="preserve">TOTAL</t>
  </si>
  <si>
    <t xml:space="preserve">Supuesto: la fecha de inicio (07-09-2026) la fijamos nosotros. 18 semanas corridas desde ahí terminan el 10-01-2027, así que ajústenla o descuenten el receso de fin de año según el calendario académico de Duoc.</t>
  </si>
  <si>
    <t xml:space="preserve">Días est. es esfuerzo en días-persona, no días de calendario. Con 3 integrantes, un sprint de 2 semanas admite del orden de 18 a 20 días-persona si el proyecto convive con otros ramos.</t>
  </si>
  <si>
    <t xml:space="preserve">ID</t>
  </si>
  <si>
    <t xml:space="preserve">Área</t>
  </si>
  <si>
    <t xml:space="preserve">Tarea</t>
  </si>
  <si>
    <t xml:space="preserve">Criterio de aceptación</t>
  </si>
  <si>
    <t xml:space="preserve">Rol responsable</t>
  </si>
  <si>
    <t xml:space="preserve">Responsable</t>
  </si>
  <si>
    <t xml:space="preserve">Depende de</t>
  </si>
  <si>
    <t xml:space="preserve">Prioridad</t>
  </si>
  <si>
    <t xml:space="preserve">Estado</t>
  </si>
  <si>
    <t xml:space="preserve">T-001</t>
  </si>
  <si>
    <t xml:space="preserve">Preparación</t>
  </si>
  <si>
    <t xml:space="preserve">Definir el esquema JSON normalizado del hallazgo</t>
  </si>
  <si>
    <t xml:space="preserve">Documento en /docs con cada campo, tipo, obligatoriedad y ejemplo. Revisado y aprobado por los 3 integrantes.</t>
  </si>
  <si>
    <t xml:space="preserve">Arquitectura e IA</t>
  </si>
  <si>
    <t xml:space="preserve">Alta</t>
  </si>
  <si>
    <t xml:space="preserve">Pendiente</t>
  </si>
  <si>
    <t xml:space="preserve">T-002</t>
  </si>
  <si>
    <t xml:space="preserve">Definir la máquina de estados del hallazgo</t>
  </si>
  <si>
    <t xml:space="preserve">Diagrama con estados (nuevo, en triage, confirmado, falso positivo, remediado) y quién ejecuta cada transición.</t>
  </si>
  <si>
    <t xml:space="preserve">T-003</t>
  </si>
  <si>
    <t xml:space="preserve">Crear repositorio monorepo con estructura base</t>
  </si>
  <si>
    <t xml:space="preserve">Repo con /backend /frontend /lab /docs, README inicial y .gitignore. Acceso para los 3 integrantes.</t>
  </si>
  <si>
    <t xml:space="preserve">Backend, Datos y Dashboard</t>
  </si>
  <si>
    <t xml:space="preserve">Luciano Zambrano</t>
  </si>
  <si>
    <t xml:space="preserve">T-004</t>
  </si>
  <si>
    <t xml:space="preserve">Definir convenciones de commits, ramas y política de PR</t>
  </si>
  <si>
    <t xml:space="preserve">CONTRIBUTING.md con formato de commit, naming de ramas y regla de al menos 1 revisor por PR.</t>
  </si>
  <si>
    <t xml:space="preserve">Media</t>
  </si>
  <si>
    <t xml:space="preserve">T-005</t>
  </si>
  <si>
    <t xml:space="preserve">Laboratorio</t>
  </si>
  <si>
    <t xml:space="preserve">Docker Compose con Juice Shop y PostgreSQL en red interna</t>
  </si>
  <si>
    <t xml:space="preserve">docker compose up levanta ambos servicios en una red bridge dedicada, sin puertos publicados hacia afuera.</t>
  </si>
  <si>
    <t xml:space="preserve">Laboratorio y Validación</t>
  </si>
  <si>
    <t xml:space="preserve">T-006</t>
  </si>
  <si>
    <t xml:space="preserve">Verificar el aislamiento de red del laboratorio</t>
  </si>
  <si>
    <t xml:space="preserve">Evidencia (captura o log) de que el contenedor objetivo no alcanza internet ni la LAN del host.</t>
  </si>
  <si>
    <t xml:space="preserve">T-007</t>
  </si>
  <si>
    <t xml:space="preserve">Ejecutar primer escaneo ZAP baseline y guardar el JSON crudo</t>
  </si>
  <si>
    <t xml:space="preserve">Archivo JSON versionado en /lab/fixtures que sirve de insumo fijo para desarrollar sin re-escanear.</t>
  </si>
  <si>
    <t xml:space="preserve">T-008</t>
  </si>
  <si>
    <t xml:space="preserve">IA</t>
  </si>
  <si>
    <t xml:space="preserve">Prueba de humo de Ollama con modelo cuantizado</t>
  </si>
  <si>
    <t xml:space="preserve">Un hallazgo real procesado localmente. Registrar latencia por hallazgo, RAM y VRAM usadas en el equipo más débil del equipo.</t>
  </si>
  <si>
    <t xml:space="preserve">T-009</t>
  </si>
  <si>
    <t xml:space="preserve">Decidir el modelo LLM definitivo según la prueba de humo</t>
  </si>
  <si>
    <t xml:space="preserve">Decisión escrita en /docs con el modelo elegido, su tamaño y la latencia medida. Si no cumple, plan B documentado.</t>
  </si>
  <si>
    <t xml:space="preserve">T-010</t>
  </si>
  <si>
    <t xml:space="preserve">Backend</t>
  </si>
  <si>
    <t xml:space="preserve">Esqueleto FastAPI con healthcheck dentro del compose</t>
  </si>
  <si>
    <t xml:space="preserve">GET /health responde 200 desde el contenedor y el servicio arranca junto al resto del laboratorio.</t>
  </si>
  <si>
    <t xml:space="preserve">T-011</t>
  </si>
  <si>
    <t xml:space="preserve">Diagrama entidad-relación del modelo de datos</t>
  </si>
  <si>
    <t xml:space="preserve">DER con target, scan, tool, finding, finding_ai y validation, con cardinalidades y claves.</t>
  </si>
  <si>
    <t xml:space="preserve">T-012</t>
  </si>
  <si>
    <t xml:space="preserve">Implementar los modelos SQLAlchemy</t>
  </si>
  <si>
    <t xml:space="preserve">Modelos que reflejan el DER, con tipos correctos y relaciones navegables desde el ORM.</t>
  </si>
  <si>
    <t xml:space="preserve">T-013</t>
  </si>
  <si>
    <t xml:space="preserve">Configurar Alembic y generar la migración inicial</t>
  </si>
  <si>
    <t xml:space="preserve">alembic upgrade head crea el esquema completo sobre una base vacía, sin intervención manual.</t>
  </si>
  <si>
    <t xml:space="preserve">T-014</t>
  </si>
  <si>
    <t xml:space="preserve">Arquitectura</t>
  </si>
  <si>
    <t xml:space="preserve">Definir e implementar la regla de deduplicación (dedupe_key)</t>
  </si>
  <si>
    <t xml:space="preserve">Regla documentada (qué campos la componen y por qué) más función que la calcula, con tests.</t>
  </si>
  <si>
    <t xml:space="preserve">T-015</t>
  </si>
  <si>
    <t xml:space="preserve">Crear índices sobre scan_id, severidad y dedupe_key</t>
  </si>
  <si>
    <t xml:space="preserve">Índices en la migración. Consulta de listado sobre datos de prueba responde por debajo de 500 ms.</t>
  </si>
  <si>
    <t xml:space="preserve">T-016</t>
  </si>
  <si>
    <t xml:space="preserve">Script de carga de datos de prueba desde el fixture ZAP</t>
  </si>
  <si>
    <t xml:space="preserve">Comando único que puebla la base con datos realistas para desarrollar el frontend más adelante.</t>
  </si>
  <si>
    <t xml:space="preserve">T-017</t>
  </si>
  <si>
    <t xml:space="preserve">Documentar el modelo de datos en /docs</t>
  </si>
  <si>
    <t xml:space="preserve">Documento con el DER, el diccionario de datos y las decisiones de diseño. Entra en la carpeta de evidencias.</t>
  </si>
  <si>
    <t xml:space="preserve">T-018</t>
  </si>
  <si>
    <t xml:space="preserve">Automatizar la ejecución del escaneo ZAP por script</t>
  </si>
  <si>
    <t xml:space="preserve">Un comando lanza el escaneo contra Juice Shop y deja el JSON en una ruta conocida, sin pasos manuales.</t>
  </si>
  <si>
    <t xml:space="preserve">T-019</t>
  </si>
  <si>
    <t xml:space="preserve">Parser de ZAP JSON al esquema normalizado</t>
  </si>
  <si>
    <t xml:space="preserve">El parser convierte el fixture completo sin perder hallazgos y sin campos obligatorios vacíos.</t>
  </si>
  <si>
    <t xml:space="preserve">T-020</t>
  </si>
  <si>
    <t xml:space="preserve">Mapeo de severidad de la herramienta a la escala común</t>
  </si>
  <si>
    <t xml:space="preserve">Tabla de equivalencias documentada y justificada. Se aplica en la ingesta, no en la vista.</t>
  </si>
  <si>
    <t xml:space="preserve">T-021</t>
  </si>
  <si>
    <t xml:space="preserve">Conservar la evidencia original íntegra junto al hallazgo</t>
  </si>
  <si>
    <t xml:space="preserve">El registro guarda el bloque crudo de la herramienta sin modificar, recuperable desde la API.</t>
  </si>
  <si>
    <t xml:space="preserve">T-022</t>
  </si>
  <si>
    <t xml:space="preserve">Endpoint POST /scans/import</t>
  </si>
  <si>
    <t xml:space="preserve">Recibe un JSON de ZAP, persiste escaneo y hallazgos normalizados, y devuelve el resumen de la importación.</t>
  </si>
  <si>
    <t xml:space="preserve">T-023</t>
  </si>
  <si>
    <t xml:space="preserve">Endpoint GET /findings con filtros y paginación</t>
  </si>
  <si>
    <t xml:space="preserve">Filtra por severidad, estado, categoría y escaneo. Respuesta paginada y con total de coincidencias.</t>
  </si>
  <si>
    <t xml:space="preserve">T-024</t>
  </si>
  <si>
    <t xml:space="preserve">Aplicar deduplicación en la ingesta agrupando ocurrencias</t>
  </si>
  <si>
    <t xml:space="preserve">Reimportar el mismo escaneo no duplica registros. Cada hallazgo agrupado indica cuántas veces se reportó.</t>
  </si>
  <si>
    <t xml:space="preserve">T-025</t>
  </si>
  <si>
    <t xml:space="preserve">Tests unitarios del parser con fixtures reales</t>
  </si>
  <si>
    <t xml:space="preserve">Cobertura de los casos límite: campos ausentes, evidencia vacía, severidad desconocida y hallazgo repetido.</t>
  </si>
  <si>
    <t xml:space="preserve">T-026</t>
  </si>
  <si>
    <t xml:space="preserve">Colección de pruebas de la API versionada en el repo</t>
  </si>
  <si>
    <t xml:space="preserve">Colección Postman o Bruno que recorre importar, listar y filtrar. Es evidencia entregable del proyecto.</t>
  </si>
  <si>
    <t xml:space="preserve">T-027</t>
  </si>
  <si>
    <t xml:space="preserve">Validación</t>
  </si>
  <si>
    <t xml:space="preserve">HITO 1: importar un escaneo real y consultarlo sin duplicados</t>
  </si>
  <si>
    <t xml:space="preserve">Demo de extremo a extremo con datos reales, sin pasos manuales entre el escaneo y la consulta por API.</t>
  </si>
  <si>
    <t xml:space="preserve">T-028</t>
  </si>
  <si>
    <t xml:space="preserve">Cliente de Ollama con timeout y reintentos</t>
  </si>
  <si>
    <t xml:space="preserve">Módulo aislado, configurable por variables de entorno, que no cuelga la aplicación si el modelo no responde.</t>
  </si>
  <si>
    <t xml:space="preserve">T-029</t>
  </si>
  <si>
    <t xml:space="preserve">Diseñar el prompt con salida JSON estricta</t>
  </si>
  <si>
    <t xml:space="preserve">El prompt pide explicación, categoría OWASP Top 10, prioridad sugerida, confianza y remediación concreta.</t>
  </si>
  <si>
    <t xml:space="preserve">T-030</t>
  </si>
  <si>
    <t xml:space="preserve">Esquema Pydantic que valida la salida del modelo</t>
  </si>
  <si>
    <t xml:space="preserve">Toda respuesta pasa por validación. Categoría fuera del OWASP Top 10 o confianza fuera de rango se rechaza.</t>
  </si>
  <si>
    <t xml:space="preserve">T-031</t>
  </si>
  <si>
    <t xml:space="preserve">Reintento con reparación y marca de 'sin enriquecer'</t>
  </si>
  <si>
    <t xml:space="preserve">Tras 3 intentos fallidos el hallazgo queda marcado y visible como no enriquecido. Nunca se inventa el campo.</t>
  </si>
  <si>
    <t xml:space="preserve">T-032</t>
  </si>
  <si>
    <t xml:space="preserve">Endpoint POST /findings/{id}/enrich</t>
  </si>
  <si>
    <t xml:space="preserve">Dispara el enriquecimiento de un hallazgo y devuelve la salida validada o el motivo del fallo.</t>
  </si>
  <si>
    <t xml:space="preserve">T-033</t>
  </si>
  <si>
    <t xml:space="preserve">Iterar el prompt sobre 10 hallazgos representativos</t>
  </si>
  <si>
    <t xml:space="preserve">Registro de las versiones del prompt probadas y qué mejoró cada una. Insumo directo del golden set.</t>
  </si>
  <si>
    <t xml:space="preserve">T-034</t>
  </si>
  <si>
    <t xml:space="preserve">Documentar prompt, versión del modelo y parámetros</t>
  </si>
  <si>
    <t xml:space="preserve">Documento con el prompt final, temperatura, contexto y versión exacta del modelo, para poder reproducir resultados.</t>
  </si>
  <si>
    <t xml:space="preserve">T-035</t>
  </si>
  <si>
    <t xml:space="preserve">Persistir la salida IA con prompt, modelo y timestamp</t>
  </si>
  <si>
    <t xml:space="preserve">La tabla finding_ai guarda qué prompt y qué versión del modelo generaron cada salida. Auditable meses después.</t>
  </si>
  <si>
    <t xml:space="preserve">T-036</t>
  </si>
  <si>
    <t xml:space="preserve">Cola de trabajos para enriquecer un escaneo completo</t>
  </si>
  <si>
    <t xml:space="preserve">El enriquecimiento por lote corre en segundo plano. La API sigue respondiendo mientras el modelo trabaja.</t>
  </si>
  <si>
    <t xml:space="preserve">T-037</t>
  </si>
  <si>
    <t xml:space="preserve">Endpoint de estado del trabajo de enriquecimiento</t>
  </si>
  <si>
    <t xml:space="preserve">Devuelve progreso, procesados, fallidos y tiempo transcurrido. El dashboard lo usará para mostrar avance.</t>
  </si>
  <si>
    <t xml:space="preserve">T-038</t>
  </si>
  <si>
    <t xml:space="preserve">Reprocesar hallazgos fallidos de forma idempotente</t>
  </si>
  <si>
    <t xml:space="preserve">Relanzar el trabajo solo procesa lo pendiente y no duplica registros de enriquecimiento.</t>
  </si>
  <si>
    <t xml:space="preserve">T-039</t>
  </si>
  <si>
    <t xml:space="preserve">Medir el tiempo total de enriquecimiento de un escaneo completo</t>
  </si>
  <si>
    <t xml:space="preserve">Número documentado (hallazgos por minuto). Si el escaneo completo tarda demasiado, decidir mitigación aquí y no en la semana 17.</t>
  </si>
  <si>
    <t xml:space="preserve">T-040</t>
  </si>
  <si>
    <t xml:space="preserve">Registrar métricas por escaneo (total, enriquecidos, fallidos)</t>
  </si>
  <si>
    <t xml:space="preserve">Consultables por API. Alimentan el resumen del dashboard y el informe final.</t>
  </si>
  <si>
    <t xml:space="preserve">T-041</t>
  </si>
  <si>
    <t xml:space="preserve">Seleccionar la muestra de 30 a 50 hallazgos para el golden set</t>
  </si>
  <si>
    <t xml:space="preserve">Muestra que cubre distintas severidades, categorías y al menos algunos falsos positivos conocidos.</t>
  </si>
  <si>
    <t xml:space="preserve">T-042</t>
  </si>
  <si>
    <t xml:space="preserve">Definir la rúbrica de anotación manual</t>
  </si>
  <si>
    <t xml:space="preserve">Criterios explícitos para juzgar categoría OWASP, prioridad y utilidad de la remediación. Sin esto, la anotación no es comparable.</t>
  </si>
  <si>
    <t xml:space="preserve">T-043</t>
  </si>
  <si>
    <t xml:space="preserve">Anotar la muestra a mano con dos revisores por hallazgo</t>
  </si>
  <si>
    <t xml:space="preserve">Cada hallazgo anotado independientemente por dos personas, con los desacuerdos resueltos y registrados.</t>
  </si>
  <si>
    <t xml:space="preserve">T-044</t>
  </si>
  <si>
    <t xml:space="preserve">Planilla de validación manual como evidencia entregable</t>
  </si>
  <si>
    <t xml:space="preserve">Planilla versionada con la anotación humana, la salida del modelo y la comparación. Es evidencia del proyecto.</t>
  </si>
  <si>
    <t xml:space="preserve">T-045</t>
  </si>
  <si>
    <t xml:space="preserve">Comparar la salida del modelo contra el golden set</t>
  </si>
  <si>
    <t xml:space="preserve">Script reproducible que calcula las métricas a partir de la planilla, no a mano.</t>
  </si>
  <si>
    <t xml:space="preserve">T-046</t>
  </si>
  <si>
    <t xml:space="preserve">Documentar acierto OWASP, acierto de prioridad y tasa de alucinación</t>
  </si>
  <si>
    <t xml:space="preserve">Tres números defendibles en la presentación, con su metodología descrita.</t>
  </si>
  <si>
    <t xml:space="preserve">T-047</t>
  </si>
  <si>
    <t xml:space="preserve">Ajustar el prompt y volver a medir sobre la misma muestra</t>
  </si>
  <si>
    <t xml:space="preserve">Comparativa antes y después con la misma muestra. Demuestra mejora medida, no percibida.</t>
  </si>
  <si>
    <t xml:space="preserve">T-048</t>
  </si>
  <si>
    <t xml:space="preserve">HITO 2: métricas de calidad de la IA documentadas y reproducibles</t>
  </si>
  <si>
    <t xml:space="preserve">Otra persona puede recorrer el procedimiento y obtener las mismas métricas.</t>
  </si>
  <si>
    <t xml:space="preserve">T-049</t>
  </si>
  <si>
    <t xml:space="preserve">Frontend</t>
  </si>
  <si>
    <t xml:space="preserve">Proyecto Next.js conectado a la API</t>
  </si>
  <si>
    <t xml:space="preserve">La aplicación levanta en el compose y lista hallazgos reales desde el backend.</t>
  </si>
  <si>
    <t xml:space="preserve">T-050</t>
  </si>
  <si>
    <t xml:space="preserve">Vista resumen con totales por severidad, estado y categoría</t>
  </si>
  <si>
    <t xml:space="preserve">Los conteos coinciden exactamente con los de la API. Nada se calcula dos veces con criterios distintos.</t>
  </si>
  <si>
    <t xml:space="preserve">T-051</t>
  </si>
  <si>
    <t xml:space="preserve">Lista de hallazgos con filtros por criticidad, estado y categoría</t>
  </si>
  <si>
    <t xml:space="preserve">Los filtros se combinan y el estado queda reflejado en la URL para poder compartir una vista.</t>
  </si>
  <si>
    <t xml:space="preserve">T-052</t>
  </si>
  <si>
    <t xml:space="preserve">Detalle del hallazgo con evidencia original y salida IA lado a lado</t>
  </si>
  <si>
    <t xml:space="preserve">Se distingue visualmente qué escribió la herramienta y qué escribió el modelo. Es el punto central de la defensa.</t>
  </si>
  <si>
    <t xml:space="preserve">T-053</t>
  </si>
  <si>
    <t xml:space="preserve">Mostrar el nivel de confianza de la IA de forma visible</t>
  </si>
  <si>
    <t xml:space="preserve">Confianza baja se ve distinta de confianza alta sin necesidad de abrir el detalle.</t>
  </si>
  <si>
    <t xml:space="preserve">T-054</t>
  </si>
  <si>
    <t xml:space="preserve">Manejar estados de carga, vacío y error del backend</t>
  </si>
  <si>
    <t xml:space="preserve">Ningún estado deja la pantalla en blanco ni muestra un error crudo de red.</t>
  </si>
  <si>
    <t xml:space="preserve">T-055</t>
  </si>
  <si>
    <t xml:space="preserve">OPCIONAL: integrar Nikto como segunda herramienta</t>
  </si>
  <si>
    <t xml:space="preserve">Solo si S3 a S6 están cerrados. Valida que el esquema normalizado sirve para más de una herramienta.</t>
  </si>
  <si>
    <t xml:space="preserve">Baja</t>
  </si>
  <si>
    <t xml:space="preserve">T-056</t>
  </si>
  <si>
    <t xml:space="preserve">UI para registrar la validación humana del hallazgo</t>
  </si>
  <si>
    <t xml:space="preserve">Permite confirmar, descartar como falso positivo o corregir la prioridad sugerida, con comentario opcional.</t>
  </si>
  <si>
    <t xml:space="preserve">T-057</t>
  </si>
  <si>
    <t xml:space="preserve">Endpoint de validación con trazabilidad de autor y fecha</t>
  </si>
  <si>
    <t xml:space="preserve">Cada decisión humana queda registrada con quién y cuándo. Es lo que respalda el 'la validación final es humana'.</t>
  </si>
  <si>
    <t xml:space="preserve">T-058</t>
  </si>
  <si>
    <t xml:space="preserve">Generación del informe técnico exportable</t>
  </si>
  <si>
    <t xml:space="preserve">Se exporta un informe con resumen, hallazgos priorizados y estado de validación de cada uno.</t>
  </si>
  <si>
    <t xml:space="preserve">T-059</t>
  </si>
  <si>
    <t xml:space="preserve">El informe enlaza cada hallazgo con su evidencia original</t>
  </si>
  <si>
    <t xml:space="preserve">Desde el informe se llega a la evidencia cruda. Cumple el requisito de trazabilidad del proyecto.</t>
  </si>
  <si>
    <t xml:space="preserve">T-060</t>
  </si>
  <si>
    <t xml:space="preserve">Capturas del dashboard funcional para la carpeta de evidencias</t>
  </si>
  <si>
    <t xml:space="preserve">Capturas de resumen, lista filtrada, detalle y validación, con datos reales.</t>
  </si>
  <si>
    <t xml:space="preserve">T-061</t>
  </si>
  <si>
    <t xml:space="preserve">Pruebas de extremo a extremo del flujo escaneo a informe</t>
  </si>
  <si>
    <t xml:space="preserve">Recorrido completo sin intervención manual, ejecutado sobre un laboratorio recién levantado.</t>
  </si>
  <si>
    <t xml:space="preserve">T-062</t>
  </si>
  <si>
    <t xml:space="preserve">Transversal</t>
  </si>
  <si>
    <t xml:space="preserve">Congelamiento de código al cierre de la semana 16</t>
  </si>
  <si>
    <t xml:space="preserve">A partir de aquí solo se corrigen errores. Nada de funcionalidad nueva.</t>
  </si>
  <si>
    <t xml:space="preserve">T-063</t>
  </si>
  <si>
    <t xml:space="preserve">OPCIONAL: DVWA o WebGoat como objetivo secundario</t>
  </si>
  <si>
    <t xml:space="preserve">Solo si el congelamiento llega sin deuda pendiente. Aporta un segundo objetivo a la demo.</t>
  </si>
  <si>
    <t xml:space="preserve">T-064</t>
  </si>
  <si>
    <t xml:space="preserve">Corregir los errores bloqueantes detectados en las pruebas E2E</t>
  </si>
  <si>
    <t xml:space="preserve">Cero errores bloqueantes abiertos al terminar la semana 17.</t>
  </si>
  <si>
    <t xml:space="preserve">T-065</t>
  </si>
  <si>
    <t xml:space="preserve">README con instalación y ejecución reproducible desde cero</t>
  </si>
  <si>
    <t xml:space="preserve">Alguien ajeno al equipo levanta el proyecto siguiendo solo el README, en una máquina limpia.</t>
  </si>
  <si>
    <t xml:space="preserve">T-066</t>
  </si>
  <si>
    <t xml:space="preserve">Documentación final del modelo de datos y de la API</t>
  </si>
  <si>
    <t xml:space="preserve">Documentación actualizada respecto de lo realmente implementado, no respecto del diseño de la semana 3.</t>
  </si>
  <si>
    <t xml:space="preserve">T-067</t>
  </si>
  <si>
    <t xml:space="preserve">Compilar la carpeta de evidencias completa</t>
  </si>
  <si>
    <t xml:space="preserve">Las seis evidencias comprometidas, ordenadas y con índice: repo, modelo de datos, colección de API, capturas, informes y planilla de validación.</t>
  </si>
  <si>
    <t xml:space="preserve">T-068</t>
  </si>
  <si>
    <t xml:space="preserve">Grabar el video de respaldo de la demo</t>
  </si>
  <si>
    <t xml:space="preserve">Video del flujo completo, para usar si la demo en vivo falla el día de la defensa.</t>
  </si>
  <si>
    <t xml:space="preserve">T-069</t>
  </si>
  <si>
    <t xml:space="preserve">Escribir el guion de la presentación con reparto de tiempos</t>
  </si>
  <si>
    <t xml:space="preserve">Guion por diapositiva, con quién habla y cuánto dura cada sección.</t>
  </si>
  <si>
    <t xml:space="preserve">T-070</t>
  </si>
  <si>
    <t xml:space="preserve">Ensayo con preguntas difíciles</t>
  </si>
  <si>
    <t xml:space="preserve">Respuestas preparadas: por qué IA local, cómo se valida la salida, qué pasa cuando el modelo se equivoca y cuáles son los límites del alcance.</t>
  </si>
  <si>
    <t xml:space="preserve">T-071</t>
  </si>
  <si>
    <t xml:space="preserve">Probar la demo en el equipo y la red de la defensa</t>
  </si>
  <si>
    <t xml:space="preserve">Ensayo en las condiciones reales de la sala, no en el equipo de desarrollo.</t>
  </si>
  <si>
    <t xml:space="preserve">Registro de riesgos</t>
  </si>
  <si>
    <t xml:space="preserve">Riesgo</t>
  </si>
  <si>
    <t xml:space="preserve">Prob. (1-5)</t>
  </si>
  <si>
    <t xml:space="preserve">Impacto (1-5)</t>
  </si>
  <si>
    <t xml:space="preserve">Exposición</t>
  </si>
  <si>
    <t xml:space="preserve">Mitigación</t>
  </si>
  <si>
    <t xml:space="preserve">Señal de alerta temprana</t>
  </si>
  <si>
    <t xml:space="preserve">Sprint en que se despeja</t>
  </si>
  <si>
    <t xml:space="preserve">R-01</t>
  </si>
  <si>
    <t xml:space="preserve">Hardware insuficiente para correr el LLM local</t>
  </si>
  <si>
    <t xml:space="preserve">Prueba de humo en la semana 1 con modelo cuantizado de 7-8B. Si no rinde, bajar de tamaño o enriquecer solo los hallazgos de severidad alta.</t>
  </si>
  <si>
    <t xml:space="preserve">Latencia por hallazgo sobre 30 segundos o swap del sistema durante la prueba.</t>
  </si>
  <si>
    <t xml:space="preserve">R-02</t>
  </si>
  <si>
    <t xml:space="preserve">El modelo devuelve JSON inválido o inventa categorías</t>
  </si>
  <si>
    <t xml:space="preserve">Modo JSON de Ollama más validación con Pydantic, reintento con reparación y marca de 'sin enriquecer' tras 3 fallos.</t>
  </si>
  <si>
    <t xml:space="preserve">Más de un 10% de salidas rechazadas por el validador en las pruebas del S4.</t>
  </si>
  <si>
    <t xml:space="preserve">R-03</t>
  </si>
  <si>
    <t xml:space="preserve">El esquema normalizado cambia después de construir el backend</t>
  </si>
  <si>
    <t xml:space="preserve">Congelar el esquema en la semana 1 y revisarlo entre los 3. Cualquier cambio posterior pasa por migración Alembic.</t>
  </si>
  <si>
    <t xml:space="preserve">Aparece un campo necesario que no estaba previsto durante el S3.</t>
  </si>
  <si>
    <t xml:space="preserve">R-04</t>
  </si>
  <si>
    <t xml:space="preserve">Expansión del alcance hacia Nikto, OpenVAS, DVWA o WebGoat</t>
  </si>
  <si>
    <t xml:space="preserve">Están marcados como opcionales en la propuesta. No se tocan hasta que el flujo ZAP a Juice Shop esté cerrado y medido.</t>
  </si>
  <si>
    <t xml:space="preserve">Se abre una tarea de herramienta opcional antes de cerrar el HITO 2.</t>
  </si>
  <si>
    <t xml:space="preserve">R-05</t>
  </si>
  <si>
    <t xml:space="preserve">Carga desbalanceada sobre backend, datos y dashboard</t>
  </si>
  <si>
    <t xml:space="preserve">Desde la semana 13 el rol de laboratorio migra a apoyar el frontend. Revisar el reparto en la retrospectiva de cada sprint.</t>
  </si>
  <si>
    <t xml:space="preserve">Un integrante concentra más del 45% de los días estimados de un sprint.</t>
  </si>
  <si>
    <t xml:space="preserve">R-06</t>
  </si>
  <si>
    <t xml:space="preserve">El escaneo genera tan pocos hallazgos que la priorización no se luce</t>
  </si>
  <si>
    <t xml:space="preserve">Usar ZAP en modo full scan sobre Juice Shop autenticado y verificar volumen en el S1.</t>
  </si>
  <si>
    <t xml:space="preserve">El escaneo baseline devuelve menos de 20 hallazgos distintos.</t>
  </si>
  <si>
    <t xml:space="preserve">R-07</t>
  </si>
  <si>
    <t xml:space="preserve">La demo en vivo falla el día de la defensa</t>
  </si>
  <si>
    <t xml:space="preserve">Video de respaldo grabado en el S9 y ensayo en el equipo y la red reales de la sala.</t>
  </si>
  <si>
    <t xml:space="preserve">El ensayo en la sala no se alcanza a hacer antes de la última semana.</t>
  </si>
  <si>
    <t xml:space="preserve">R-08</t>
  </si>
  <si>
    <t xml:space="preserve">Evidencias reunidas a última hora y quedan incompletas</t>
  </si>
  <si>
    <t xml:space="preserve">Cada evidencia tiene una tarea propia en el sprint donde nace, no en el S9. El S9 solo compila.</t>
  </si>
  <si>
    <t xml:space="preserve">Al cerrar el S6 falta alguna de las seis evidencias comprometidas.</t>
  </si>
  <si>
    <t xml:space="preserve">Exposición = probabilidad × impacto. Prob. e Impacto son estimaciones del equipo en escala 1 a 5 (celdas azules, editables).</t>
  </si>
  <si>
    <t xml:space="preserve">Cómo usar esta planilla</t>
  </si>
  <si>
    <t xml:space="preserve">Celdas que ustedes editan</t>
  </si>
  <si>
    <t xml:space="preserve">Sprints · D4</t>
  </si>
  <si>
    <t xml:space="preserve">Fecha de inicio del sprint 1. Todas las demás fechas se calculan a partir de esta celda.</t>
  </si>
  <si>
    <t xml:space="preserve">Backlog · H (Responsable)</t>
  </si>
  <si>
    <t xml:space="preserve">Quién toma la tarea. Las celdas amarillas están sin asignar.</t>
  </si>
  <si>
    <t xml:space="preserve">Backlog · L (Estado)</t>
  </si>
  <si>
    <t xml:space="preserve">Pendiente / En curso / Bloqueado / Hecho. Al marcar Hecho, el % de avance del sprint se actualiza solo.</t>
  </si>
  <si>
    <t xml:space="preserve">Backlog · I (Días est.)</t>
  </si>
  <si>
    <t xml:space="preserve">Ajusten la estimación cuando la conozcan mejor. El total del sprint se recalcula.</t>
  </si>
  <si>
    <t xml:space="preserve">Riesgos · C y D</t>
  </si>
  <si>
    <t xml:space="preserve">Probabilidad e impacto de 1 a 5. La exposición se calcula sola.</t>
  </si>
  <si>
    <t xml:space="preserve">Convención de colores</t>
  </si>
  <si>
    <t xml:space="preserve">Texto azul</t>
  </si>
  <si>
    <t xml:space="preserve">Celda de entrada: dato que ustedes escriben o eligen.</t>
  </si>
  <si>
    <t xml:space="preserve">Relleno amarillo</t>
  </si>
  <si>
    <t xml:space="preserve">Pendiente de decidir. Hoy: los responsables aún no asignados.</t>
  </si>
  <si>
    <t xml:space="preserve">Texto negro</t>
  </si>
  <si>
    <t xml:space="preserve">Calculado por fórmula. No lo sobrescriban o rompen el avance.</t>
  </si>
  <si>
    <t xml:space="preserve">Tarea en cursiva gris</t>
  </si>
  <si>
    <t xml:space="preserve">Alcance opcional. Solo se aborda si el camino principal ya está cerrado.</t>
  </si>
  <si>
    <t xml:space="preserve">Ejemplo de fila ya completada</t>
  </si>
  <si>
    <t xml:space="preserve">Formato esperado</t>
  </si>
  <si>
    <t xml:space="preserve">T-005 | S1 | 1-2 | Laboratorio | Docker Compose con Juice Shop y PostgreSQL en red interna | Luciano Zambrano | 2 | Alta | Hecho</t>
  </si>
  <si>
    <t xml:space="preserve">Supuestos que usamos al armar esto</t>
  </si>
  <si>
    <t xml:space="preserve">Fecha de inicio</t>
  </si>
  <si>
    <t xml:space="preserve">07-09-2026, fijada por nosotros. La presentación del anteproyecto está fechada 04-09-2026. Ajústenla al calendario real de Duoc.</t>
  </si>
  <si>
    <t xml:space="preserve">Responsables</t>
  </si>
  <si>
    <t xml:space="preserve">La propuesta solo nombra a Luciano Zambrano en Backend, Datos y Dashboard. Esas tareas quedaron pre-asignadas; el resto está en amarillo porque la propuesta no dice quién toma Arquitectura e IA ni Laboratorio y Validación.</t>
  </si>
  <si>
    <t xml:space="preserve">Días estimados</t>
  </si>
  <si>
    <t xml:space="preserve">Estimación nuestra en días-persona, sin base histórica del equipo. Revísenla en la primera planificación y corrijan la columna I.</t>
  </si>
  <si>
    <t xml:space="preserve">Nueve sprints de 2 semanas</t>
  </si>
  <si>
    <t xml:space="preserve">Derivado de los tres bloques de 6 semanas de la propuesta (semanas 1-6, 7-12 y 13-18).</t>
  </si>
  <si>
    <t xml:space="preserve">Dos cambios respecto de la propuesta original</t>
  </si>
  <si>
    <t xml:space="preserve">Ollama se prueba en la semana 1</t>
  </si>
  <si>
    <t xml:space="preserve">La propuesta lo integra recién en las semanas 7 a 12. Si el hardware no da, enterarse en la semana 7 cuesta un tercio del proyecto.</t>
  </si>
  <si>
    <t xml:space="preserve">Se agrega un golden set en el S6</t>
  </si>
  <si>
    <t xml:space="preserve">Sin medición contra anotación humana tienen una demo. Con ella tienen resultados: acierto OWASP, acierto de prioridad y tasa de alucinación.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</si>
</sst>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\-yyyy"/>
    <numFmt numFmtId="166" formatCode="0.0%"/>
    <numFmt numFmtId="167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172A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7C3AED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F172A"/>
        <bgColor rgb="FF000000"/>
      </patternFill>
    </fill>
    <fill>
      <patternFill patternType="solid">
        <fgColor rgb="FFE2E8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F172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C3AED"/>
      <rgbColor rgb="FFFFFFCC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26"/>
    <col collapsed="false" customWidth="true" hidden="false" outlineLevel="0" max="5" min="4" style="0" width="13"/>
    <col collapsed="false" customWidth="true" hidden="false" outlineLevel="0" max="7" min="6" style="0" width="46"/>
    <col collapsed="false" customWidth="true" hidden="false" outlineLevel="0" max="8" min="8" style="0" width="9"/>
    <col collapsed="false" customWidth="true" hidden="false" outlineLevel="0" max="10" min="9" style="0" width="10"/>
    <col collapsed="false" customWidth="true" hidden="false" outlineLevel="0" max="11" min="11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D4" s="4" t="n">
        <v>46272</v>
      </c>
      <c r="E4" s="5" t="s">
        <v>3</v>
      </c>
    </row>
    <row r="6" customFormat="false" ht="30" hidden="false" customHeight="tru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</row>
    <row r="7" customFormat="false" ht="57.75" hidden="false" customHeight="true" outlineLevel="0" collapsed="false">
      <c r="A7" s="7" t="s">
        <v>15</v>
      </c>
      <c r="B7" s="8" t="s">
        <v>16</v>
      </c>
      <c r="C7" s="9" t="s">
        <v>17</v>
      </c>
      <c r="D7" s="10" t="n">
        <f aca="false">$D$4</f>
        <v>46272</v>
      </c>
      <c r="E7" s="10" t="n">
        <f aca="false">D7+13</f>
        <v>46285</v>
      </c>
      <c r="F7" s="9" t="s">
        <v>18</v>
      </c>
      <c r="G7" s="9" t="s">
        <v>19</v>
      </c>
      <c r="H7" s="8" t="n">
        <f aca="false">COUNTIFS(Backlog!$B$2:$B$72,$A7)</f>
        <v>10</v>
      </c>
      <c r="I7" s="8" t="n">
        <f aca="false">SUMIFS(Backlog!$I$2:$I$72,Backlog!$B$2:$B$72,$A7)</f>
        <v>14</v>
      </c>
      <c r="J7" s="8" t="n">
        <f aca="false">COUNTIFS(Backlog!$B$2:$B$72,$A7,Backlog!$L$2:$L$72,"Hecho")</f>
        <v>0</v>
      </c>
      <c r="K7" s="11" t="n">
        <f aca="false">IFERROR(J7/H7,0)</f>
        <v>0</v>
      </c>
    </row>
    <row r="8" customFormat="false" ht="57.75" hidden="false" customHeight="true" outlineLevel="0" collapsed="false">
      <c r="A8" s="7" t="s">
        <v>20</v>
      </c>
      <c r="B8" s="8" t="s">
        <v>21</v>
      </c>
      <c r="C8" s="9" t="s">
        <v>17</v>
      </c>
      <c r="D8" s="10" t="n">
        <f aca="false">D7+14</f>
        <v>46286</v>
      </c>
      <c r="E8" s="10" t="n">
        <f aca="false">D8+13</f>
        <v>46299</v>
      </c>
      <c r="F8" s="9" t="s">
        <v>22</v>
      </c>
      <c r="G8" s="9" t="s">
        <v>23</v>
      </c>
      <c r="H8" s="8" t="n">
        <f aca="false">COUNTIFS(Backlog!$B$2:$B$72,$A8)</f>
        <v>8</v>
      </c>
      <c r="I8" s="8" t="n">
        <f aca="false">SUMIFS(Backlog!$I$2:$I$72,Backlog!$B$2:$B$72,$A8)</f>
        <v>14</v>
      </c>
      <c r="J8" s="8" t="n">
        <f aca="false">COUNTIFS(Backlog!$B$2:$B$72,$A8,Backlog!$L$2:$L$72,"Hecho")</f>
        <v>0</v>
      </c>
      <c r="K8" s="11" t="n">
        <f aca="false">IFERROR(J8/H8,0)</f>
        <v>0</v>
      </c>
    </row>
    <row r="9" customFormat="false" ht="57.75" hidden="false" customHeight="true" outlineLevel="0" collapsed="false">
      <c r="A9" s="7" t="s">
        <v>24</v>
      </c>
      <c r="B9" s="8" t="s">
        <v>25</v>
      </c>
      <c r="C9" s="9" t="s">
        <v>17</v>
      </c>
      <c r="D9" s="10" t="n">
        <f aca="false">D8+14</f>
        <v>46300</v>
      </c>
      <c r="E9" s="10" t="n">
        <f aca="false">D9+13</f>
        <v>46313</v>
      </c>
      <c r="F9" s="9" t="s">
        <v>26</v>
      </c>
      <c r="G9" s="9" t="s">
        <v>27</v>
      </c>
      <c r="H9" s="8" t="n">
        <f aca="false">COUNTIFS(Backlog!$B$2:$B$72,$A9)</f>
        <v>9</v>
      </c>
      <c r="I9" s="8" t="n">
        <f aca="false">SUMIFS(Backlog!$I$2:$I$72,Backlog!$B$2:$B$72,$A9)</f>
        <v>15</v>
      </c>
      <c r="J9" s="8" t="n">
        <f aca="false">COUNTIFS(Backlog!$B$2:$B$72,$A9,Backlog!$L$2:$L$72,"Hecho")</f>
        <v>0</v>
      </c>
      <c r="K9" s="11" t="n">
        <f aca="false">IFERROR(J9/H9,0)</f>
        <v>0</v>
      </c>
    </row>
    <row r="10" customFormat="false" ht="57.75" hidden="false" customHeight="true" outlineLevel="0" collapsed="false">
      <c r="A10" s="7" t="s">
        <v>28</v>
      </c>
      <c r="B10" s="8" t="s">
        <v>29</v>
      </c>
      <c r="C10" s="9" t="s">
        <v>30</v>
      </c>
      <c r="D10" s="10" t="n">
        <f aca="false">D9+14</f>
        <v>46314</v>
      </c>
      <c r="E10" s="10" t="n">
        <f aca="false">D10+13</f>
        <v>46327</v>
      </c>
      <c r="F10" s="9" t="s">
        <v>31</v>
      </c>
      <c r="G10" s="9" t="s">
        <v>32</v>
      </c>
      <c r="H10" s="8" t="n">
        <f aca="false">COUNTIFS(Backlog!$B$2:$B$72,$A10)</f>
        <v>7</v>
      </c>
      <c r="I10" s="8" t="n">
        <f aca="false">SUMIFS(Backlog!$I$2:$I$72,Backlog!$B$2:$B$72,$A10)</f>
        <v>14</v>
      </c>
      <c r="J10" s="8" t="n">
        <f aca="false">COUNTIFS(Backlog!$B$2:$B$72,$A10,Backlog!$L$2:$L$72,"Hecho")</f>
        <v>0</v>
      </c>
      <c r="K10" s="11" t="n">
        <f aca="false">IFERROR(J10/H10,0)</f>
        <v>0</v>
      </c>
    </row>
    <row r="11" customFormat="false" ht="57.75" hidden="false" customHeight="true" outlineLevel="0" collapsed="false">
      <c r="A11" s="7" t="s">
        <v>33</v>
      </c>
      <c r="B11" s="8" t="s">
        <v>34</v>
      </c>
      <c r="C11" s="9" t="s">
        <v>30</v>
      </c>
      <c r="D11" s="10" t="n">
        <f aca="false">D10+14</f>
        <v>46328</v>
      </c>
      <c r="E11" s="10" t="n">
        <f aca="false">D11+13</f>
        <v>46341</v>
      </c>
      <c r="F11" s="9" t="s">
        <v>35</v>
      </c>
      <c r="G11" s="9" t="s">
        <v>36</v>
      </c>
      <c r="H11" s="8" t="n">
        <f aca="false">COUNTIFS(Backlog!$B$2:$B$72,$A11)</f>
        <v>6</v>
      </c>
      <c r="I11" s="8" t="n">
        <f aca="false">SUMIFS(Backlog!$I$2:$I$72,Backlog!$B$2:$B$72,$A11)</f>
        <v>12</v>
      </c>
      <c r="J11" s="8" t="n">
        <f aca="false">COUNTIFS(Backlog!$B$2:$B$72,$A11,Backlog!$L$2:$L$72,"Hecho")</f>
        <v>0</v>
      </c>
      <c r="K11" s="11" t="n">
        <f aca="false">IFERROR(J11/H11,0)</f>
        <v>0</v>
      </c>
    </row>
    <row r="12" customFormat="false" ht="57.75" hidden="false" customHeight="true" outlineLevel="0" collapsed="false">
      <c r="A12" s="7" t="s">
        <v>37</v>
      </c>
      <c r="B12" s="8" t="s">
        <v>38</v>
      </c>
      <c r="C12" s="9" t="s">
        <v>30</v>
      </c>
      <c r="D12" s="10" t="n">
        <f aca="false">D11+14</f>
        <v>46342</v>
      </c>
      <c r="E12" s="10" t="n">
        <f aca="false">D12+13</f>
        <v>46355</v>
      </c>
      <c r="F12" s="9" t="s">
        <v>39</v>
      </c>
      <c r="G12" s="9" t="s">
        <v>40</v>
      </c>
      <c r="H12" s="8" t="n">
        <f aca="false">COUNTIFS(Backlog!$B$2:$B$72,$A12)</f>
        <v>8</v>
      </c>
      <c r="I12" s="8" t="n">
        <f aca="false">SUMIFS(Backlog!$I$2:$I$72,Backlog!$B$2:$B$72,$A12)</f>
        <v>15</v>
      </c>
      <c r="J12" s="8" t="n">
        <f aca="false">COUNTIFS(Backlog!$B$2:$B$72,$A12,Backlog!$L$2:$L$72,"Hecho")</f>
        <v>0</v>
      </c>
      <c r="K12" s="11" t="n">
        <f aca="false">IFERROR(J12/H12,0)</f>
        <v>0</v>
      </c>
    </row>
    <row r="13" customFormat="false" ht="57.75" hidden="false" customHeight="true" outlineLevel="0" collapsed="false">
      <c r="A13" s="7" t="s">
        <v>41</v>
      </c>
      <c r="B13" s="8" t="s">
        <v>42</v>
      </c>
      <c r="C13" s="9" t="s">
        <v>43</v>
      </c>
      <c r="D13" s="10" t="n">
        <f aca="false">D12+14</f>
        <v>46356</v>
      </c>
      <c r="E13" s="10" t="n">
        <f aca="false">D13+13</f>
        <v>46369</v>
      </c>
      <c r="F13" s="9" t="s">
        <v>44</v>
      </c>
      <c r="G13" s="9" t="s">
        <v>45</v>
      </c>
      <c r="H13" s="8" t="n">
        <f aca="false">COUNTIFS(Backlog!$B$2:$B$72,$A13)</f>
        <v>7</v>
      </c>
      <c r="I13" s="8" t="n">
        <f aca="false">SUMIFS(Backlog!$I$2:$I$72,Backlog!$B$2:$B$72,$A13)</f>
        <v>17</v>
      </c>
      <c r="J13" s="8" t="n">
        <f aca="false">COUNTIFS(Backlog!$B$2:$B$72,$A13,Backlog!$L$2:$L$72,"Hecho")</f>
        <v>0</v>
      </c>
      <c r="K13" s="11" t="n">
        <f aca="false">IFERROR(J13/H13,0)</f>
        <v>0</v>
      </c>
    </row>
    <row r="14" customFormat="false" ht="57.75" hidden="false" customHeight="true" outlineLevel="0" collapsed="false">
      <c r="A14" s="7" t="s">
        <v>46</v>
      </c>
      <c r="B14" s="8" t="s">
        <v>47</v>
      </c>
      <c r="C14" s="9" t="s">
        <v>43</v>
      </c>
      <c r="D14" s="10" t="n">
        <f aca="false">D13+14</f>
        <v>46370</v>
      </c>
      <c r="E14" s="10" t="n">
        <f aca="false">D14+13</f>
        <v>46383</v>
      </c>
      <c r="F14" s="9" t="s">
        <v>48</v>
      </c>
      <c r="G14" s="9" t="s">
        <v>49</v>
      </c>
      <c r="H14" s="8" t="n">
        <f aca="false">COUNTIFS(Backlog!$B$2:$B$72,$A14)</f>
        <v>8</v>
      </c>
      <c r="I14" s="8" t="n">
        <f aca="false">SUMIFS(Backlog!$I$2:$I$72,Backlog!$B$2:$B$72,$A14)</f>
        <v>17</v>
      </c>
      <c r="J14" s="8" t="n">
        <f aca="false">COUNTIFS(Backlog!$B$2:$B$72,$A14,Backlog!$L$2:$L$72,"Hecho")</f>
        <v>0</v>
      </c>
      <c r="K14" s="11" t="n">
        <f aca="false">IFERROR(J14/H14,0)</f>
        <v>0</v>
      </c>
    </row>
    <row r="15" customFormat="false" ht="57.75" hidden="false" customHeight="true" outlineLevel="0" collapsed="false">
      <c r="A15" s="7" t="s">
        <v>50</v>
      </c>
      <c r="B15" s="8" t="s">
        <v>51</v>
      </c>
      <c r="C15" s="9" t="s">
        <v>43</v>
      </c>
      <c r="D15" s="10" t="n">
        <f aca="false">D14+14</f>
        <v>46384</v>
      </c>
      <c r="E15" s="10" t="n">
        <f aca="false">D15+13</f>
        <v>46397</v>
      </c>
      <c r="F15" s="9" t="s">
        <v>52</v>
      </c>
      <c r="G15" s="9" t="s">
        <v>53</v>
      </c>
      <c r="H15" s="8" t="n">
        <f aca="false">COUNTIFS(Backlog!$B$2:$B$72,$A15)</f>
        <v>8</v>
      </c>
      <c r="I15" s="8" t="n">
        <f aca="false">SUMIFS(Backlog!$I$2:$I$72,Backlog!$B$2:$B$72,$A15)</f>
        <v>15</v>
      </c>
      <c r="J15" s="8" t="n">
        <f aca="false">COUNTIFS(Backlog!$B$2:$B$72,$A15,Backlog!$L$2:$L$72,"Hecho")</f>
        <v>0</v>
      </c>
      <c r="K15" s="11" t="n">
        <f aca="false">IFERROR(J15/H15,0)</f>
        <v>0</v>
      </c>
    </row>
    <row r="16" customFormat="false" ht="15" hidden="false" customHeight="false" outlineLevel="0" collapsed="false">
      <c r="A16" s="12" t="s">
        <v>54</v>
      </c>
      <c r="B16" s="12"/>
      <c r="C16" s="12"/>
      <c r="D16" s="13" t="n">
        <f aca="false">D7</f>
        <v>46272</v>
      </c>
      <c r="E16" s="13" t="n">
        <f aca="false">E15</f>
        <v>46397</v>
      </c>
      <c r="F16" s="12"/>
      <c r="G16" s="12"/>
      <c r="H16" s="12" t="n">
        <f aca="false">SUM(H7:H15)</f>
        <v>71</v>
      </c>
      <c r="I16" s="12" t="n">
        <f aca="false">SUM(I7:I15)</f>
        <v>133</v>
      </c>
      <c r="J16" s="12" t="n">
        <f aca="false">SUM(J7:J15)</f>
        <v>0</v>
      </c>
      <c r="K16" s="14" t="n">
        <f aca="false">IFERROR(J16/H16,0)</f>
        <v>0</v>
      </c>
    </row>
    <row r="18" customFormat="false" ht="15" hidden="false" customHeight="false" outlineLevel="0" collapsed="false">
      <c r="A18" s="5" t="s">
        <v>55</v>
      </c>
    </row>
    <row r="19" customFormat="false" ht="15" hidden="false" customHeight="false" outlineLevel="0" collapsed="false">
      <c r="A19" s="5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44"/>
    <col collapsed="false" customWidth="true" hidden="false" outlineLevel="0" max="6" min="6" style="0" width="60"/>
    <col collapsed="false" customWidth="true" hidden="false" outlineLevel="0" max="7" min="7" style="0" width="26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3"/>
  </cols>
  <sheetData>
    <row r="1" customFormat="false" ht="30" hidden="false" customHeight="true" outlineLevel="0" collapsed="false">
      <c r="A1" s="6" t="s">
        <v>57</v>
      </c>
      <c r="B1" s="6" t="s">
        <v>4</v>
      </c>
      <c r="C1" s="6" t="s">
        <v>5</v>
      </c>
      <c r="D1" s="6" t="s">
        <v>58</v>
      </c>
      <c r="E1" s="6" t="s">
        <v>59</v>
      </c>
      <c r="F1" s="6" t="s">
        <v>60</v>
      </c>
      <c r="G1" s="6" t="s">
        <v>61</v>
      </c>
      <c r="H1" s="6" t="s">
        <v>62</v>
      </c>
      <c r="I1" s="6" t="s">
        <v>12</v>
      </c>
      <c r="J1" s="6" t="s">
        <v>63</v>
      </c>
      <c r="K1" s="6" t="s">
        <v>64</v>
      </c>
      <c r="L1" s="6" t="s">
        <v>65</v>
      </c>
    </row>
    <row r="2" customFormat="false" ht="23.85" hidden="false" customHeight="false" outlineLevel="0" collapsed="false">
      <c r="A2" s="8" t="s">
        <v>66</v>
      </c>
      <c r="B2" s="8" t="s">
        <v>15</v>
      </c>
      <c r="C2" s="8" t="s">
        <v>16</v>
      </c>
      <c r="D2" s="15" t="s">
        <v>67</v>
      </c>
      <c r="E2" s="9" t="s">
        <v>68</v>
      </c>
      <c r="F2" s="9" t="s">
        <v>69</v>
      </c>
      <c r="G2" s="15" t="s">
        <v>70</v>
      </c>
      <c r="H2" s="16"/>
      <c r="I2" s="8" t="n">
        <v>2</v>
      </c>
      <c r="J2" s="8"/>
      <c r="K2" s="8" t="s">
        <v>71</v>
      </c>
      <c r="L2" s="17" t="s">
        <v>72</v>
      </c>
    </row>
    <row r="3" customFormat="false" ht="23.85" hidden="false" customHeight="false" outlineLevel="0" collapsed="false">
      <c r="A3" s="8" t="s">
        <v>73</v>
      </c>
      <c r="B3" s="8" t="s">
        <v>15</v>
      </c>
      <c r="C3" s="8" t="s">
        <v>16</v>
      </c>
      <c r="D3" s="15" t="s">
        <v>67</v>
      </c>
      <c r="E3" s="9" t="s">
        <v>74</v>
      </c>
      <c r="F3" s="9" t="s">
        <v>75</v>
      </c>
      <c r="G3" s="15" t="s">
        <v>70</v>
      </c>
      <c r="H3" s="16"/>
      <c r="I3" s="8" t="n">
        <v>1</v>
      </c>
      <c r="J3" s="8" t="s">
        <v>66</v>
      </c>
      <c r="K3" s="8" t="s">
        <v>71</v>
      </c>
      <c r="L3" s="17" t="s">
        <v>72</v>
      </c>
    </row>
    <row r="4" customFormat="false" ht="23.85" hidden="false" customHeight="false" outlineLevel="0" collapsed="false">
      <c r="A4" s="8" t="s">
        <v>76</v>
      </c>
      <c r="B4" s="8" t="s">
        <v>15</v>
      </c>
      <c r="C4" s="8" t="s">
        <v>16</v>
      </c>
      <c r="D4" s="15" t="s">
        <v>67</v>
      </c>
      <c r="E4" s="9" t="s">
        <v>77</v>
      </c>
      <c r="F4" s="9" t="s">
        <v>78</v>
      </c>
      <c r="G4" s="15" t="s">
        <v>79</v>
      </c>
      <c r="H4" s="18" t="s">
        <v>80</v>
      </c>
      <c r="I4" s="8" t="n">
        <v>1</v>
      </c>
      <c r="J4" s="8"/>
      <c r="K4" s="8" t="s">
        <v>71</v>
      </c>
      <c r="L4" s="17" t="s">
        <v>72</v>
      </c>
    </row>
    <row r="5" customFormat="false" ht="23.85" hidden="false" customHeight="false" outlineLevel="0" collapsed="false">
      <c r="A5" s="8" t="s">
        <v>81</v>
      </c>
      <c r="B5" s="8" t="s">
        <v>15</v>
      </c>
      <c r="C5" s="8" t="s">
        <v>16</v>
      </c>
      <c r="D5" s="15" t="s">
        <v>67</v>
      </c>
      <c r="E5" s="9" t="s">
        <v>82</v>
      </c>
      <c r="F5" s="9" t="s">
        <v>83</v>
      </c>
      <c r="G5" s="15" t="s">
        <v>79</v>
      </c>
      <c r="H5" s="18" t="s">
        <v>80</v>
      </c>
      <c r="I5" s="8" t="n">
        <v>1</v>
      </c>
      <c r="J5" s="8" t="s">
        <v>76</v>
      </c>
      <c r="K5" s="8" t="s">
        <v>84</v>
      </c>
      <c r="L5" s="17" t="s">
        <v>72</v>
      </c>
    </row>
    <row r="6" customFormat="false" ht="23.85" hidden="false" customHeight="false" outlineLevel="0" collapsed="false">
      <c r="A6" s="8" t="s">
        <v>85</v>
      </c>
      <c r="B6" s="8" t="s">
        <v>15</v>
      </c>
      <c r="C6" s="8" t="s">
        <v>16</v>
      </c>
      <c r="D6" s="15" t="s">
        <v>86</v>
      </c>
      <c r="E6" s="9" t="s">
        <v>87</v>
      </c>
      <c r="F6" s="9" t="s">
        <v>88</v>
      </c>
      <c r="G6" s="15" t="s">
        <v>89</v>
      </c>
      <c r="H6" s="16"/>
      <c r="I6" s="8" t="n">
        <v>2</v>
      </c>
      <c r="J6" s="8"/>
      <c r="K6" s="8" t="s">
        <v>71</v>
      </c>
      <c r="L6" s="17" t="s">
        <v>72</v>
      </c>
    </row>
    <row r="7" customFormat="false" ht="23.85" hidden="false" customHeight="false" outlineLevel="0" collapsed="false">
      <c r="A7" s="8" t="s">
        <v>90</v>
      </c>
      <c r="B7" s="8" t="s">
        <v>15</v>
      </c>
      <c r="C7" s="8" t="s">
        <v>16</v>
      </c>
      <c r="D7" s="15" t="s">
        <v>86</v>
      </c>
      <c r="E7" s="9" t="s">
        <v>91</v>
      </c>
      <c r="F7" s="9" t="s">
        <v>92</v>
      </c>
      <c r="G7" s="15" t="s">
        <v>89</v>
      </c>
      <c r="H7" s="16"/>
      <c r="I7" s="8" t="n">
        <v>1</v>
      </c>
      <c r="J7" s="8" t="s">
        <v>85</v>
      </c>
      <c r="K7" s="8" t="s">
        <v>71</v>
      </c>
      <c r="L7" s="17" t="s">
        <v>72</v>
      </c>
    </row>
    <row r="8" customFormat="false" ht="23.85" hidden="false" customHeight="false" outlineLevel="0" collapsed="false">
      <c r="A8" s="8" t="s">
        <v>93</v>
      </c>
      <c r="B8" s="8" t="s">
        <v>15</v>
      </c>
      <c r="C8" s="8" t="s">
        <v>16</v>
      </c>
      <c r="D8" s="15" t="s">
        <v>86</v>
      </c>
      <c r="E8" s="9" t="s">
        <v>94</v>
      </c>
      <c r="F8" s="9" t="s">
        <v>95</v>
      </c>
      <c r="G8" s="15" t="s">
        <v>89</v>
      </c>
      <c r="H8" s="16"/>
      <c r="I8" s="8" t="n">
        <v>1</v>
      </c>
      <c r="J8" s="8" t="s">
        <v>85</v>
      </c>
      <c r="K8" s="8" t="s">
        <v>71</v>
      </c>
      <c r="L8" s="17" t="s">
        <v>72</v>
      </c>
    </row>
    <row r="9" customFormat="false" ht="23.85" hidden="false" customHeight="false" outlineLevel="0" collapsed="false">
      <c r="A9" s="8" t="s">
        <v>96</v>
      </c>
      <c r="B9" s="8" t="s">
        <v>15</v>
      </c>
      <c r="C9" s="8" t="s">
        <v>16</v>
      </c>
      <c r="D9" s="15" t="s">
        <v>97</v>
      </c>
      <c r="E9" s="9" t="s">
        <v>98</v>
      </c>
      <c r="F9" s="9" t="s">
        <v>99</v>
      </c>
      <c r="G9" s="15" t="s">
        <v>70</v>
      </c>
      <c r="H9" s="16"/>
      <c r="I9" s="8" t="n">
        <v>2</v>
      </c>
      <c r="J9" s="8"/>
      <c r="K9" s="8" t="s">
        <v>71</v>
      </c>
      <c r="L9" s="17" t="s">
        <v>72</v>
      </c>
    </row>
    <row r="10" customFormat="false" ht="23.85" hidden="false" customHeight="false" outlineLevel="0" collapsed="false">
      <c r="A10" s="8" t="s">
        <v>100</v>
      </c>
      <c r="B10" s="8" t="s">
        <v>15</v>
      </c>
      <c r="C10" s="8" t="s">
        <v>16</v>
      </c>
      <c r="D10" s="15" t="s">
        <v>97</v>
      </c>
      <c r="E10" s="9" t="s">
        <v>101</v>
      </c>
      <c r="F10" s="9" t="s">
        <v>102</v>
      </c>
      <c r="G10" s="15" t="s">
        <v>70</v>
      </c>
      <c r="H10" s="16"/>
      <c r="I10" s="8" t="n">
        <v>1</v>
      </c>
      <c r="J10" s="8" t="s">
        <v>96</v>
      </c>
      <c r="K10" s="8" t="s">
        <v>71</v>
      </c>
      <c r="L10" s="17" t="s">
        <v>72</v>
      </c>
    </row>
    <row r="11" customFormat="false" ht="23.85" hidden="false" customHeight="false" outlineLevel="0" collapsed="false">
      <c r="A11" s="8" t="s">
        <v>103</v>
      </c>
      <c r="B11" s="8" t="s">
        <v>15</v>
      </c>
      <c r="C11" s="8" t="s">
        <v>16</v>
      </c>
      <c r="D11" s="15" t="s">
        <v>104</v>
      </c>
      <c r="E11" s="9" t="s">
        <v>105</v>
      </c>
      <c r="F11" s="9" t="s">
        <v>106</v>
      </c>
      <c r="G11" s="15" t="s">
        <v>79</v>
      </c>
      <c r="H11" s="18" t="s">
        <v>80</v>
      </c>
      <c r="I11" s="8" t="n">
        <v>2</v>
      </c>
      <c r="J11" s="8" t="s">
        <v>76</v>
      </c>
      <c r="K11" s="8" t="s">
        <v>71</v>
      </c>
      <c r="L11" s="17" t="s">
        <v>72</v>
      </c>
    </row>
    <row r="12" customFormat="false" ht="23.85" hidden="false" customHeight="false" outlineLevel="0" collapsed="false">
      <c r="A12" s="8" t="s">
        <v>107</v>
      </c>
      <c r="B12" s="8" t="s">
        <v>20</v>
      </c>
      <c r="C12" s="8" t="s">
        <v>21</v>
      </c>
      <c r="D12" s="15" t="s">
        <v>104</v>
      </c>
      <c r="E12" s="9" t="s">
        <v>108</v>
      </c>
      <c r="F12" s="9" t="s">
        <v>109</v>
      </c>
      <c r="G12" s="15" t="s">
        <v>79</v>
      </c>
      <c r="H12" s="18" t="s">
        <v>80</v>
      </c>
      <c r="I12" s="8" t="n">
        <v>2</v>
      </c>
      <c r="J12" s="8" t="s">
        <v>66</v>
      </c>
      <c r="K12" s="8" t="s">
        <v>71</v>
      </c>
      <c r="L12" s="17" t="s">
        <v>72</v>
      </c>
    </row>
    <row r="13" customFormat="false" ht="23.85" hidden="false" customHeight="false" outlineLevel="0" collapsed="false">
      <c r="A13" s="8" t="s">
        <v>110</v>
      </c>
      <c r="B13" s="8" t="s">
        <v>20</v>
      </c>
      <c r="C13" s="8" t="s">
        <v>21</v>
      </c>
      <c r="D13" s="15" t="s">
        <v>104</v>
      </c>
      <c r="E13" s="9" t="s">
        <v>111</v>
      </c>
      <c r="F13" s="9" t="s">
        <v>112</v>
      </c>
      <c r="G13" s="15" t="s">
        <v>79</v>
      </c>
      <c r="H13" s="18" t="s">
        <v>80</v>
      </c>
      <c r="I13" s="8" t="n">
        <v>3</v>
      </c>
      <c r="J13" s="8" t="s">
        <v>107</v>
      </c>
      <c r="K13" s="8" t="s">
        <v>71</v>
      </c>
      <c r="L13" s="17" t="s">
        <v>72</v>
      </c>
    </row>
    <row r="14" customFormat="false" ht="23.85" hidden="false" customHeight="false" outlineLevel="0" collapsed="false">
      <c r="A14" s="8" t="s">
        <v>113</v>
      </c>
      <c r="B14" s="8" t="s">
        <v>20</v>
      </c>
      <c r="C14" s="8" t="s">
        <v>21</v>
      </c>
      <c r="D14" s="15" t="s">
        <v>104</v>
      </c>
      <c r="E14" s="9" t="s">
        <v>114</v>
      </c>
      <c r="F14" s="9" t="s">
        <v>115</v>
      </c>
      <c r="G14" s="15" t="s">
        <v>79</v>
      </c>
      <c r="H14" s="18" t="s">
        <v>80</v>
      </c>
      <c r="I14" s="8" t="n">
        <v>2</v>
      </c>
      <c r="J14" s="8" t="s">
        <v>110</v>
      </c>
      <c r="K14" s="8" t="s">
        <v>71</v>
      </c>
      <c r="L14" s="17" t="s">
        <v>72</v>
      </c>
    </row>
    <row r="15" customFormat="false" ht="23.85" hidden="false" customHeight="false" outlineLevel="0" collapsed="false">
      <c r="A15" s="8" t="s">
        <v>116</v>
      </c>
      <c r="B15" s="8" t="s">
        <v>20</v>
      </c>
      <c r="C15" s="8" t="s">
        <v>21</v>
      </c>
      <c r="D15" s="15" t="s">
        <v>117</v>
      </c>
      <c r="E15" s="9" t="s">
        <v>118</v>
      </c>
      <c r="F15" s="9" t="s">
        <v>119</v>
      </c>
      <c r="G15" s="15" t="s">
        <v>70</v>
      </c>
      <c r="H15" s="16"/>
      <c r="I15" s="8" t="n">
        <v>2</v>
      </c>
      <c r="J15" s="8" t="s">
        <v>66</v>
      </c>
      <c r="K15" s="8" t="s">
        <v>71</v>
      </c>
      <c r="L15" s="17" t="s">
        <v>72</v>
      </c>
    </row>
    <row r="16" customFormat="false" ht="23.85" hidden="false" customHeight="false" outlineLevel="0" collapsed="false">
      <c r="A16" s="8" t="s">
        <v>120</v>
      </c>
      <c r="B16" s="8" t="s">
        <v>20</v>
      </c>
      <c r="C16" s="8" t="s">
        <v>21</v>
      </c>
      <c r="D16" s="15" t="s">
        <v>104</v>
      </c>
      <c r="E16" s="9" t="s">
        <v>121</v>
      </c>
      <c r="F16" s="9" t="s">
        <v>122</v>
      </c>
      <c r="G16" s="15" t="s">
        <v>79</v>
      </c>
      <c r="H16" s="18" t="s">
        <v>80</v>
      </c>
      <c r="I16" s="8" t="n">
        <v>1</v>
      </c>
      <c r="J16" s="8" t="s">
        <v>113</v>
      </c>
      <c r="K16" s="8" t="s">
        <v>84</v>
      </c>
      <c r="L16" s="17" t="s">
        <v>72</v>
      </c>
    </row>
    <row r="17" customFormat="false" ht="23.85" hidden="false" customHeight="false" outlineLevel="0" collapsed="false">
      <c r="A17" s="8" t="s">
        <v>123</v>
      </c>
      <c r="B17" s="8" t="s">
        <v>20</v>
      </c>
      <c r="C17" s="8" t="s">
        <v>21</v>
      </c>
      <c r="D17" s="15" t="s">
        <v>104</v>
      </c>
      <c r="E17" s="9" t="s">
        <v>124</v>
      </c>
      <c r="F17" s="9" t="s">
        <v>125</v>
      </c>
      <c r="G17" s="15" t="s">
        <v>79</v>
      </c>
      <c r="H17" s="18" t="s">
        <v>80</v>
      </c>
      <c r="I17" s="8" t="n">
        <v>1</v>
      </c>
      <c r="J17" s="8" t="s">
        <v>113</v>
      </c>
      <c r="K17" s="8" t="s">
        <v>84</v>
      </c>
      <c r="L17" s="17" t="s">
        <v>72</v>
      </c>
    </row>
    <row r="18" customFormat="false" ht="23.85" hidden="false" customHeight="false" outlineLevel="0" collapsed="false">
      <c r="A18" s="8" t="s">
        <v>126</v>
      </c>
      <c r="B18" s="8" t="s">
        <v>20</v>
      </c>
      <c r="C18" s="8" t="s">
        <v>21</v>
      </c>
      <c r="D18" s="15" t="s">
        <v>104</v>
      </c>
      <c r="E18" s="9" t="s">
        <v>127</v>
      </c>
      <c r="F18" s="9" t="s">
        <v>128</v>
      </c>
      <c r="G18" s="15" t="s">
        <v>79</v>
      </c>
      <c r="H18" s="18" t="s">
        <v>80</v>
      </c>
      <c r="I18" s="8" t="n">
        <v>1</v>
      </c>
      <c r="J18" s="8" t="s">
        <v>107</v>
      </c>
      <c r="K18" s="8" t="s">
        <v>84</v>
      </c>
      <c r="L18" s="17" t="s">
        <v>72</v>
      </c>
    </row>
    <row r="19" customFormat="false" ht="23.85" hidden="false" customHeight="false" outlineLevel="0" collapsed="false">
      <c r="A19" s="8" t="s">
        <v>129</v>
      </c>
      <c r="B19" s="8" t="s">
        <v>20</v>
      </c>
      <c r="C19" s="8" t="s">
        <v>21</v>
      </c>
      <c r="D19" s="15" t="s">
        <v>86</v>
      </c>
      <c r="E19" s="9" t="s">
        <v>130</v>
      </c>
      <c r="F19" s="9" t="s">
        <v>131</v>
      </c>
      <c r="G19" s="15" t="s">
        <v>89</v>
      </c>
      <c r="H19" s="16"/>
      <c r="I19" s="8" t="n">
        <v>2</v>
      </c>
      <c r="J19" s="8" t="s">
        <v>93</v>
      </c>
      <c r="K19" s="8" t="s">
        <v>84</v>
      </c>
      <c r="L19" s="17" t="s">
        <v>72</v>
      </c>
    </row>
    <row r="20" customFormat="false" ht="23.85" hidden="false" customHeight="false" outlineLevel="0" collapsed="false">
      <c r="A20" s="8" t="s">
        <v>132</v>
      </c>
      <c r="B20" s="8" t="s">
        <v>24</v>
      </c>
      <c r="C20" s="8" t="s">
        <v>25</v>
      </c>
      <c r="D20" s="15" t="s">
        <v>104</v>
      </c>
      <c r="E20" s="9" t="s">
        <v>133</v>
      </c>
      <c r="F20" s="9" t="s">
        <v>134</v>
      </c>
      <c r="G20" s="15" t="s">
        <v>79</v>
      </c>
      <c r="H20" s="18" t="s">
        <v>80</v>
      </c>
      <c r="I20" s="8" t="n">
        <v>3</v>
      </c>
      <c r="J20" s="8" t="s">
        <v>66</v>
      </c>
      <c r="K20" s="8" t="s">
        <v>71</v>
      </c>
      <c r="L20" s="17" t="s">
        <v>72</v>
      </c>
    </row>
    <row r="21" customFormat="false" ht="23.85" hidden="false" customHeight="false" outlineLevel="0" collapsed="false">
      <c r="A21" s="8" t="s">
        <v>135</v>
      </c>
      <c r="B21" s="8" t="s">
        <v>24</v>
      </c>
      <c r="C21" s="8" t="s">
        <v>25</v>
      </c>
      <c r="D21" s="15" t="s">
        <v>117</v>
      </c>
      <c r="E21" s="9" t="s">
        <v>136</v>
      </c>
      <c r="F21" s="9" t="s">
        <v>137</v>
      </c>
      <c r="G21" s="15" t="s">
        <v>70</v>
      </c>
      <c r="H21" s="16"/>
      <c r="I21" s="8" t="n">
        <v>1</v>
      </c>
      <c r="J21" s="8" t="s">
        <v>132</v>
      </c>
      <c r="K21" s="8" t="s">
        <v>71</v>
      </c>
      <c r="L21" s="17" t="s">
        <v>72</v>
      </c>
    </row>
    <row r="22" customFormat="false" ht="23.85" hidden="false" customHeight="false" outlineLevel="0" collapsed="false">
      <c r="A22" s="8" t="s">
        <v>138</v>
      </c>
      <c r="B22" s="8" t="s">
        <v>24</v>
      </c>
      <c r="C22" s="8" t="s">
        <v>25</v>
      </c>
      <c r="D22" s="15" t="s">
        <v>104</v>
      </c>
      <c r="E22" s="9" t="s">
        <v>139</v>
      </c>
      <c r="F22" s="9" t="s">
        <v>140</v>
      </c>
      <c r="G22" s="15" t="s">
        <v>79</v>
      </c>
      <c r="H22" s="18" t="s">
        <v>80</v>
      </c>
      <c r="I22" s="8" t="n">
        <v>1</v>
      </c>
      <c r="J22" s="8" t="s">
        <v>132</v>
      </c>
      <c r="K22" s="8" t="s">
        <v>71</v>
      </c>
      <c r="L22" s="17" t="s">
        <v>72</v>
      </c>
    </row>
    <row r="23" customFormat="false" ht="23.85" hidden="false" customHeight="false" outlineLevel="0" collapsed="false">
      <c r="A23" s="8" t="s">
        <v>141</v>
      </c>
      <c r="B23" s="8" t="s">
        <v>24</v>
      </c>
      <c r="C23" s="8" t="s">
        <v>25</v>
      </c>
      <c r="D23" s="15" t="s">
        <v>104</v>
      </c>
      <c r="E23" s="9" t="s">
        <v>142</v>
      </c>
      <c r="F23" s="9" t="s">
        <v>143</v>
      </c>
      <c r="G23" s="15" t="s">
        <v>79</v>
      </c>
      <c r="H23" s="18" t="s">
        <v>80</v>
      </c>
      <c r="I23" s="8" t="n">
        <v>2</v>
      </c>
      <c r="J23" s="8" t="s">
        <v>132</v>
      </c>
      <c r="K23" s="8" t="s">
        <v>71</v>
      </c>
      <c r="L23" s="17" t="s">
        <v>72</v>
      </c>
    </row>
    <row r="24" customFormat="false" ht="23.85" hidden="false" customHeight="false" outlineLevel="0" collapsed="false">
      <c r="A24" s="8" t="s">
        <v>144</v>
      </c>
      <c r="B24" s="8" t="s">
        <v>24</v>
      </c>
      <c r="C24" s="8" t="s">
        <v>25</v>
      </c>
      <c r="D24" s="15" t="s">
        <v>104</v>
      </c>
      <c r="E24" s="9" t="s">
        <v>145</v>
      </c>
      <c r="F24" s="9" t="s">
        <v>146</v>
      </c>
      <c r="G24" s="15" t="s">
        <v>79</v>
      </c>
      <c r="H24" s="18" t="s">
        <v>80</v>
      </c>
      <c r="I24" s="8" t="n">
        <v>2</v>
      </c>
      <c r="J24" s="8" t="s">
        <v>141</v>
      </c>
      <c r="K24" s="8" t="s">
        <v>71</v>
      </c>
      <c r="L24" s="17" t="s">
        <v>72</v>
      </c>
    </row>
    <row r="25" customFormat="false" ht="23.85" hidden="false" customHeight="false" outlineLevel="0" collapsed="false">
      <c r="A25" s="8" t="s">
        <v>147</v>
      </c>
      <c r="B25" s="8" t="s">
        <v>24</v>
      </c>
      <c r="C25" s="8" t="s">
        <v>25</v>
      </c>
      <c r="D25" s="15" t="s">
        <v>104</v>
      </c>
      <c r="E25" s="9" t="s">
        <v>148</v>
      </c>
      <c r="F25" s="9" t="s">
        <v>149</v>
      </c>
      <c r="G25" s="15" t="s">
        <v>79</v>
      </c>
      <c r="H25" s="18" t="s">
        <v>80</v>
      </c>
      <c r="I25" s="8" t="n">
        <v>2</v>
      </c>
      <c r="J25" s="8" t="s">
        <v>116</v>
      </c>
      <c r="K25" s="8" t="s">
        <v>71</v>
      </c>
      <c r="L25" s="17" t="s">
        <v>72</v>
      </c>
    </row>
    <row r="26" customFormat="false" ht="23.85" hidden="false" customHeight="false" outlineLevel="0" collapsed="false">
      <c r="A26" s="8" t="s">
        <v>150</v>
      </c>
      <c r="B26" s="8" t="s">
        <v>24</v>
      </c>
      <c r="C26" s="8" t="s">
        <v>25</v>
      </c>
      <c r="D26" s="15" t="s">
        <v>104</v>
      </c>
      <c r="E26" s="9" t="s">
        <v>151</v>
      </c>
      <c r="F26" s="9" t="s">
        <v>152</v>
      </c>
      <c r="G26" s="15" t="s">
        <v>79</v>
      </c>
      <c r="H26" s="18" t="s">
        <v>80</v>
      </c>
      <c r="I26" s="8" t="n">
        <v>2</v>
      </c>
      <c r="J26" s="8" t="s">
        <v>132</v>
      </c>
      <c r="K26" s="8" t="s">
        <v>84</v>
      </c>
      <c r="L26" s="17" t="s">
        <v>72</v>
      </c>
    </row>
    <row r="27" customFormat="false" ht="23.85" hidden="false" customHeight="false" outlineLevel="0" collapsed="false">
      <c r="A27" s="8" t="s">
        <v>153</v>
      </c>
      <c r="B27" s="8" t="s">
        <v>24</v>
      </c>
      <c r="C27" s="8" t="s">
        <v>25</v>
      </c>
      <c r="D27" s="15" t="s">
        <v>104</v>
      </c>
      <c r="E27" s="9" t="s">
        <v>154</v>
      </c>
      <c r="F27" s="9" t="s">
        <v>155</v>
      </c>
      <c r="G27" s="15" t="s">
        <v>79</v>
      </c>
      <c r="H27" s="18" t="s">
        <v>80</v>
      </c>
      <c r="I27" s="8" t="n">
        <v>1</v>
      </c>
      <c r="J27" s="8" t="s">
        <v>144</v>
      </c>
      <c r="K27" s="8" t="s">
        <v>71</v>
      </c>
      <c r="L27" s="17" t="s">
        <v>72</v>
      </c>
    </row>
    <row r="28" customFormat="false" ht="23.85" hidden="false" customHeight="false" outlineLevel="0" collapsed="false">
      <c r="A28" s="8" t="s">
        <v>156</v>
      </c>
      <c r="B28" s="8" t="s">
        <v>24</v>
      </c>
      <c r="C28" s="8" t="s">
        <v>25</v>
      </c>
      <c r="D28" s="15" t="s">
        <v>157</v>
      </c>
      <c r="E28" s="9" t="s">
        <v>158</v>
      </c>
      <c r="F28" s="9" t="s">
        <v>159</v>
      </c>
      <c r="G28" s="15" t="s">
        <v>89</v>
      </c>
      <c r="H28" s="16"/>
      <c r="I28" s="8" t="n">
        <v>1</v>
      </c>
      <c r="J28" s="8" t="s">
        <v>147</v>
      </c>
      <c r="K28" s="8" t="s">
        <v>71</v>
      </c>
      <c r="L28" s="17" t="s">
        <v>72</v>
      </c>
    </row>
    <row r="29" customFormat="false" ht="23.85" hidden="false" customHeight="false" outlineLevel="0" collapsed="false">
      <c r="A29" s="8" t="s">
        <v>160</v>
      </c>
      <c r="B29" s="8" t="s">
        <v>28</v>
      </c>
      <c r="C29" s="8" t="s">
        <v>29</v>
      </c>
      <c r="D29" s="15" t="s">
        <v>97</v>
      </c>
      <c r="E29" s="9" t="s">
        <v>161</v>
      </c>
      <c r="F29" s="9" t="s">
        <v>162</v>
      </c>
      <c r="G29" s="15" t="s">
        <v>70</v>
      </c>
      <c r="H29" s="16"/>
      <c r="I29" s="8" t="n">
        <v>2</v>
      </c>
      <c r="J29" s="8" t="s">
        <v>100</v>
      </c>
      <c r="K29" s="8" t="s">
        <v>71</v>
      </c>
      <c r="L29" s="17" t="s">
        <v>72</v>
      </c>
    </row>
    <row r="30" customFormat="false" ht="23.85" hidden="false" customHeight="false" outlineLevel="0" collapsed="false">
      <c r="A30" s="8" t="s">
        <v>163</v>
      </c>
      <c r="B30" s="8" t="s">
        <v>28</v>
      </c>
      <c r="C30" s="8" t="s">
        <v>29</v>
      </c>
      <c r="D30" s="15" t="s">
        <v>97</v>
      </c>
      <c r="E30" s="9" t="s">
        <v>164</v>
      </c>
      <c r="F30" s="9" t="s">
        <v>165</v>
      </c>
      <c r="G30" s="15" t="s">
        <v>70</v>
      </c>
      <c r="H30" s="16"/>
      <c r="I30" s="8" t="n">
        <v>3</v>
      </c>
      <c r="J30" s="8" t="s">
        <v>160</v>
      </c>
      <c r="K30" s="8" t="s">
        <v>71</v>
      </c>
      <c r="L30" s="17" t="s">
        <v>72</v>
      </c>
    </row>
    <row r="31" customFormat="false" ht="23.85" hidden="false" customHeight="false" outlineLevel="0" collapsed="false">
      <c r="A31" s="8" t="s">
        <v>166</v>
      </c>
      <c r="B31" s="8" t="s">
        <v>28</v>
      </c>
      <c r="C31" s="8" t="s">
        <v>29</v>
      </c>
      <c r="D31" s="15" t="s">
        <v>97</v>
      </c>
      <c r="E31" s="9" t="s">
        <v>167</v>
      </c>
      <c r="F31" s="9" t="s">
        <v>168</v>
      </c>
      <c r="G31" s="15" t="s">
        <v>70</v>
      </c>
      <c r="H31" s="16"/>
      <c r="I31" s="8" t="n">
        <v>2</v>
      </c>
      <c r="J31" s="8" t="s">
        <v>163</v>
      </c>
      <c r="K31" s="8" t="s">
        <v>71</v>
      </c>
      <c r="L31" s="17" t="s">
        <v>72</v>
      </c>
    </row>
    <row r="32" customFormat="false" ht="23.85" hidden="false" customHeight="false" outlineLevel="0" collapsed="false">
      <c r="A32" s="8" t="s">
        <v>169</v>
      </c>
      <c r="B32" s="8" t="s">
        <v>28</v>
      </c>
      <c r="C32" s="8" t="s">
        <v>29</v>
      </c>
      <c r="D32" s="15" t="s">
        <v>97</v>
      </c>
      <c r="E32" s="9" t="s">
        <v>170</v>
      </c>
      <c r="F32" s="9" t="s">
        <v>171</v>
      </c>
      <c r="G32" s="15" t="s">
        <v>70</v>
      </c>
      <c r="H32" s="16"/>
      <c r="I32" s="8" t="n">
        <v>2</v>
      </c>
      <c r="J32" s="8" t="s">
        <v>166</v>
      </c>
      <c r="K32" s="8" t="s">
        <v>71</v>
      </c>
      <c r="L32" s="17" t="s">
        <v>72</v>
      </c>
    </row>
    <row r="33" customFormat="false" ht="23.85" hidden="false" customHeight="false" outlineLevel="0" collapsed="false">
      <c r="A33" s="8" t="s">
        <v>172</v>
      </c>
      <c r="B33" s="8" t="s">
        <v>28</v>
      </c>
      <c r="C33" s="8" t="s">
        <v>29</v>
      </c>
      <c r="D33" s="15" t="s">
        <v>104</v>
      </c>
      <c r="E33" s="9" t="s">
        <v>173</v>
      </c>
      <c r="F33" s="9" t="s">
        <v>174</v>
      </c>
      <c r="G33" s="15" t="s">
        <v>79</v>
      </c>
      <c r="H33" s="18" t="s">
        <v>80</v>
      </c>
      <c r="I33" s="8" t="n">
        <v>2</v>
      </c>
      <c r="J33" s="8" t="s">
        <v>166</v>
      </c>
      <c r="K33" s="8" t="s">
        <v>71</v>
      </c>
      <c r="L33" s="17" t="s">
        <v>72</v>
      </c>
    </row>
    <row r="34" customFormat="false" ht="23.85" hidden="false" customHeight="false" outlineLevel="0" collapsed="false">
      <c r="A34" s="8" t="s">
        <v>175</v>
      </c>
      <c r="B34" s="8" t="s">
        <v>28</v>
      </c>
      <c r="C34" s="8" t="s">
        <v>29</v>
      </c>
      <c r="D34" s="15" t="s">
        <v>97</v>
      </c>
      <c r="E34" s="9" t="s">
        <v>176</v>
      </c>
      <c r="F34" s="9" t="s">
        <v>177</v>
      </c>
      <c r="G34" s="15" t="s">
        <v>70</v>
      </c>
      <c r="H34" s="16"/>
      <c r="I34" s="8" t="n">
        <v>2</v>
      </c>
      <c r="J34" s="8" t="s">
        <v>163</v>
      </c>
      <c r="K34" s="8" t="s">
        <v>84</v>
      </c>
      <c r="L34" s="17" t="s">
        <v>72</v>
      </c>
    </row>
    <row r="35" customFormat="false" ht="23.85" hidden="false" customHeight="false" outlineLevel="0" collapsed="false">
      <c r="A35" s="8" t="s">
        <v>178</v>
      </c>
      <c r="B35" s="8" t="s">
        <v>28</v>
      </c>
      <c r="C35" s="8" t="s">
        <v>29</v>
      </c>
      <c r="D35" s="15" t="s">
        <v>97</v>
      </c>
      <c r="E35" s="9" t="s">
        <v>179</v>
      </c>
      <c r="F35" s="9" t="s">
        <v>180</v>
      </c>
      <c r="G35" s="15" t="s">
        <v>70</v>
      </c>
      <c r="H35" s="16"/>
      <c r="I35" s="8" t="n">
        <v>1</v>
      </c>
      <c r="J35" s="8" t="s">
        <v>175</v>
      </c>
      <c r="K35" s="8" t="s">
        <v>71</v>
      </c>
      <c r="L35" s="17" t="s">
        <v>72</v>
      </c>
    </row>
    <row r="36" customFormat="false" ht="23.85" hidden="false" customHeight="false" outlineLevel="0" collapsed="false">
      <c r="A36" s="8" t="s">
        <v>181</v>
      </c>
      <c r="B36" s="8" t="s">
        <v>33</v>
      </c>
      <c r="C36" s="8" t="s">
        <v>34</v>
      </c>
      <c r="D36" s="15" t="s">
        <v>104</v>
      </c>
      <c r="E36" s="9" t="s">
        <v>182</v>
      </c>
      <c r="F36" s="9" t="s">
        <v>183</v>
      </c>
      <c r="G36" s="15" t="s">
        <v>79</v>
      </c>
      <c r="H36" s="18" t="s">
        <v>80</v>
      </c>
      <c r="I36" s="8" t="n">
        <v>2</v>
      </c>
      <c r="J36" s="8" t="s">
        <v>172</v>
      </c>
      <c r="K36" s="8" t="s">
        <v>71</v>
      </c>
      <c r="L36" s="17" t="s">
        <v>72</v>
      </c>
    </row>
    <row r="37" customFormat="false" ht="23.85" hidden="false" customHeight="false" outlineLevel="0" collapsed="false">
      <c r="A37" s="8" t="s">
        <v>184</v>
      </c>
      <c r="B37" s="8" t="s">
        <v>33</v>
      </c>
      <c r="C37" s="8" t="s">
        <v>34</v>
      </c>
      <c r="D37" s="15" t="s">
        <v>104</v>
      </c>
      <c r="E37" s="9" t="s">
        <v>185</v>
      </c>
      <c r="F37" s="9" t="s">
        <v>186</v>
      </c>
      <c r="G37" s="15" t="s">
        <v>79</v>
      </c>
      <c r="H37" s="18" t="s">
        <v>80</v>
      </c>
      <c r="I37" s="8" t="n">
        <v>3</v>
      </c>
      <c r="J37" s="8" t="s">
        <v>172</v>
      </c>
      <c r="K37" s="8" t="s">
        <v>71</v>
      </c>
      <c r="L37" s="17" t="s">
        <v>72</v>
      </c>
    </row>
    <row r="38" customFormat="false" ht="23.85" hidden="false" customHeight="false" outlineLevel="0" collapsed="false">
      <c r="A38" s="8" t="s">
        <v>187</v>
      </c>
      <c r="B38" s="8" t="s">
        <v>33</v>
      </c>
      <c r="C38" s="8" t="s">
        <v>34</v>
      </c>
      <c r="D38" s="15" t="s">
        <v>104</v>
      </c>
      <c r="E38" s="9" t="s">
        <v>188</v>
      </c>
      <c r="F38" s="9" t="s">
        <v>189</v>
      </c>
      <c r="G38" s="15" t="s">
        <v>79</v>
      </c>
      <c r="H38" s="18" t="s">
        <v>80</v>
      </c>
      <c r="I38" s="8" t="n">
        <v>2</v>
      </c>
      <c r="J38" s="8" t="s">
        <v>184</v>
      </c>
      <c r="K38" s="8" t="s">
        <v>71</v>
      </c>
      <c r="L38" s="17" t="s">
        <v>72</v>
      </c>
    </row>
    <row r="39" customFormat="false" ht="23.85" hidden="false" customHeight="false" outlineLevel="0" collapsed="false">
      <c r="A39" s="8" t="s">
        <v>190</v>
      </c>
      <c r="B39" s="8" t="s">
        <v>33</v>
      </c>
      <c r="C39" s="8" t="s">
        <v>34</v>
      </c>
      <c r="D39" s="15" t="s">
        <v>104</v>
      </c>
      <c r="E39" s="9" t="s">
        <v>191</v>
      </c>
      <c r="F39" s="9" t="s">
        <v>192</v>
      </c>
      <c r="G39" s="15" t="s">
        <v>79</v>
      </c>
      <c r="H39" s="18" t="s">
        <v>80</v>
      </c>
      <c r="I39" s="8" t="n">
        <v>2</v>
      </c>
      <c r="J39" s="8" t="s">
        <v>184</v>
      </c>
      <c r="K39" s="8" t="s">
        <v>84</v>
      </c>
      <c r="L39" s="17" t="s">
        <v>72</v>
      </c>
    </row>
    <row r="40" customFormat="false" ht="23.85" hidden="false" customHeight="false" outlineLevel="0" collapsed="false">
      <c r="A40" s="8" t="s">
        <v>193</v>
      </c>
      <c r="B40" s="8" t="s">
        <v>33</v>
      </c>
      <c r="C40" s="8" t="s">
        <v>34</v>
      </c>
      <c r="D40" s="15" t="s">
        <v>97</v>
      </c>
      <c r="E40" s="9" t="s">
        <v>194</v>
      </c>
      <c r="F40" s="9" t="s">
        <v>195</v>
      </c>
      <c r="G40" s="15" t="s">
        <v>70</v>
      </c>
      <c r="H40" s="16"/>
      <c r="I40" s="8" t="n">
        <v>1</v>
      </c>
      <c r="J40" s="8" t="s">
        <v>184</v>
      </c>
      <c r="K40" s="8" t="s">
        <v>71</v>
      </c>
      <c r="L40" s="17" t="s">
        <v>72</v>
      </c>
    </row>
    <row r="41" customFormat="false" ht="23.85" hidden="false" customHeight="false" outlineLevel="0" collapsed="false">
      <c r="A41" s="8" t="s">
        <v>196</v>
      </c>
      <c r="B41" s="8" t="s">
        <v>33</v>
      </c>
      <c r="C41" s="8" t="s">
        <v>34</v>
      </c>
      <c r="D41" s="15" t="s">
        <v>104</v>
      </c>
      <c r="E41" s="9" t="s">
        <v>197</v>
      </c>
      <c r="F41" s="9" t="s">
        <v>198</v>
      </c>
      <c r="G41" s="15" t="s">
        <v>79</v>
      </c>
      <c r="H41" s="18" t="s">
        <v>80</v>
      </c>
      <c r="I41" s="8" t="n">
        <v>2</v>
      </c>
      <c r="J41" s="8" t="s">
        <v>187</v>
      </c>
      <c r="K41" s="8" t="s">
        <v>84</v>
      </c>
      <c r="L41" s="17" t="s">
        <v>72</v>
      </c>
    </row>
    <row r="42" customFormat="false" ht="23.85" hidden="false" customHeight="false" outlineLevel="0" collapsed="false">
      <c r="A42" s="8" t="s">
        <v>199</v>
      </c>
      <c r="B42" s="8" t="s">
        <v>37</v>
      </c>
      <c r="C42" s="8" t="s">
        <v>38</v>
      </c>
      <c r="D42" s="15" t="s">
        <v>157</v>
      </c>
      <c r="E42" s="9" t="s">
        <v>200</v>
      </c>
      <c r="F42" s="9" t="s">
        <v>201</v>
      </c>
      <c r="G42" s="15" t="s">
        <v>89</v>
      </c>
      <c r="H42" s="16"/>
      <c r="I42" s="8" t="n">
        <v>1</v>
      </c>
      <c r="J42" s="8" t="s">
        <v>147</v>
      </c>
      <c r="K42" s="8" t="s">
        <v>71</v>
      </c>
      <c r="L42" s="17" t="s">
        <v>72</v>
      </c>
    </row>
    <row r="43" customFormat="false" ht="23.85" hidden="false" customHeight="false" outlineLevel="0" collapsed="false">
      <c r="A43" s="8" t="s">
        <v>202</v>
      </c>
      <c r="B43" s="8" t="s">
        <v>37</v>
      </c>
      <c r="C43" s="8" t="s">
        <v>38</v>
      </c>
      <c r="D43" s="15" t="s">
        <v>157</v>
      </c>
      <c r="E43" s="9" t="s">
        <v>203</v>
      </c>
      <c r="F43" s="9" t="s">
        <v>204</v>
      </c>
      <c r="G43" s="15" t="s">
        <v>89</v>
      </c>
      <c r="H43" s="16"/>
      <c r="I43" s="8" t="n">
        <v>2</v>
      </c>
      <c r="J43" s="8" t="s">
        <v>199</v>
      </c>
      <c r="K43" s="8" t="s">
        <v>71</v>
      </c>
      <c r="L43" s="17" t="s">
        <v>72</v>
      </c>
    </row>
    <row r="44" customFormat="false" ht="23.85" hidden="false" customHeight="false" outlineLevel="0" collapsed="false">
      <c r="A44" s="8" t="s">
        <v>205</v>
      </c>
      <c r="B44" s="8" t="s">
        <v>37</v>
      </c>
      <c r="C44" s="8" t="s">
        <v>38</v>
      </c>
      <c r="D44" s="15" t="s">
        <v>157</v>
      </c>
      <c r="E44" s="9" t="s">
        <v>206</v>
      </c>
      <c r="F44" s="9" t="s">
        <v>207</v>
      </c>
      <c r="G44" s="15" t="s">
        <v>89</v>
      </c>
      <c r="H44" s="16"/>
      <c r="I44" s="8" t="n">
        <v>4</v>
      </c>
      <c r="J44" s="8" t="s">
        <v>202</v>
      </c>
      <c r="K44" s="8" t="s">
        <v>71</v>
      </c>
      <c r="L44" s="17" t="s">
        <v>72</v>
      </c>
    </row>
    <row r="45" customFormat="false" ht="23.85" hidden="false" customHeight="false" outlineLevel="0" collapsed="false">
      <c r="A45" s="8" t="s">
        <v>208</v>
      </c>
      <c r="B45" s="8" t="s">
        <v>37</v>
      </c>
      <c r="C45" s="8" t="s">
        <v>38</v>
      </c>
      <c r="D45" s="15" t="s">
        <v>157</v>
      </c>
      <c r="E45" s="9" t="s">
        <v>209</v>
      </c>
      <c r="F45" s="9" t="s">
        <v>210</v>
      </c>
      <c r="G45" s="15" t="s">
        <v>89</v>
      </c>
      <c r="H45" s="16"/>
      <c r="I45" s="8" t="n">
        <v>1</v>
      </c>
      <c r="J45" s="8" t="s">
        <v>205</v>
      </c>
      <c r="K45" s="8" t="s">
        <v>71</v>
      </c>
      <c r="L45" s="17" t="s">
        <v>72</v>
      </c>
    </row>
    <row r="46" customFormat="false" ht="23.85" hidden="false" customHeight="false" outlineLevel="0" collapsed="false">
      <c r="A46" s="8" t="s">
        <v>211</v>
      </c>
      <c r="B46" s="8" t="s">
        <v>37</v>
      </c>
      <c r="C46" s="8" t="s">
        <v>38</v>
      </c>
      <c r="D46" s="15" t="s">
        <v>97</v>
      </c>
      <c r="E46" s="9" t="s">
        <v>212</v>
      </c>
      <c r="F46" s="9" t="s">
        <v>213</v>
      </c>
      <c r="G46" s="15" t="s">
        <v>70</v>
      </c>
      <c r="H46" s="16"/>
      <c r="I46" s="8" t="n">
        <v>2</v>
      </c>
      <c r="J46" s="8" t="s">
        <v>205</v>
      </c>
      <c r="K46" s="8" t="s">
        <v>71</v>
      </c>
      <c r="L46" s="17" t="s">
        <v>72</v>
      </c>
    </row>
    <row r="47" customFormat="false" ht="23.85" hidden="false" customHeight="false" outlineLevel="0" collapsed="false">
      <c r="A47" s="8" t="s">
        <v>214</v>
      </c>
      <c r="B47" s="8" t="s">
        <v>37</v>
      </c>
      <c r="C47" s="8" t="s">
        <v>38</v>
      </c>
      <c r="D47" s="15" t="s">
        <v>97</v>
      </c>
      <c r="E47" s="9" t="s">
        <v>215</v>
      </c>
      <c r="F47" s="9" t="s">
        <v>216</v>
      </c>
      <c r="G47" s="15" t="s">
        <v>70</v>
      </c>
      <c r="H47" s="16"/>
      <c r="I47" s="8" t="n">
        <v>2</v>
      </c>
      <c r="J47" s="8" t="s">
        <v>211</v>
      </c>
      <c r="K47" s="8" t="s">
        <v>71</v>
      </c>
      <c r="L47" s="17" t="s">
        <v>72</v>
      </c>
    </row>
    <row r="48" customFormat="false" ht="23.85" hidden="false" customHeight="false" outlineLevel="0" collapsed="false">
      <c r="A48" s="8" t="s">
        <v>217</v>
      </c>
      <c r="B48" s="8" t="s">
        <v>37</v>
      </c>
      <c r="C48" s="8" t="s">
        <v>38</v>
      </c>
      <c r="D48" s="15" t="s">
        <v>97</v>
      </c>
      <c r="E48" s="9" t="s">
        <v>218</v>
      </c>
      <c r="F48" s="9" t="s">
        <v>219</v>
      </c>
      <c r="G48" s="15" t="s">
        <v>70</v>
      </c>
      <c r="H48" s="16"/>
      <c r="I48" s="8" t="n">
        <v>2</v>
      </c>
      <c r="J48" s="8" t="s">
        <v>214</v>
      </c>
      <c r="K48" s="8" t="s">
        <v>84</v>
      </c>
      <c r="L48" s="17" t="s">
        <v>72</v>
      </c>
    </row>
    <row r="49" customFormat="false" ht="23.85" hidden="false" customHeight="false" outlineLevel="0" collapsed="false">
      <c r="A49" s="8" t="s">
        <v>220</v>
      </c>
      <c r="B49" s="8" t="s">
        <v>37</v>
      </c>
      <c r="C49" s="8" t="s">
        <v>38</v>
      </c>
      <c r="D49" s="15" t="s">
        <v>157</v>
      </c>
      <c r="E49" s="9" t="s">
        <v>221</v>
      </c>
      <c r="F49" s="9" t="s">
        <v>222</v>
      </c>
      <c r="G49" s="15" t="s">
        <v>70</v>
      </c>
      <c r="H49" s="16"/>
      <c r="I49" s="8" t="n">
        <v>1</v>
      </c>
      <c r="J49" s="8" t="s">
        <v>217</v>
      </c>
      <c r="K49" s="8" t="s">
        <v>71</v>
      </c>
      <c r="L49" s="17" t="s">
        <v>72</v>
      </c>
    </row>
    <row r="50" customFormat="false" ht="23.85" hidden="false" customHeight="false" outlineLevel="0" collapsed="false">
      <c r="A50" s="8" t="s">
        <v>223</v>
      </c>
      <c r="B50" s="8" t="s">
        <v>41</v>
      </c>
      <c r="C50" s="8" t="s">
        <v>42</v>
      </c>
      <c r="D50" s="15" t="s">
        <v>224</v>
      </c>
      <c r="E50" s="9" t="s">
        <v>225</v>
      </c>
      <c r="F50" s="9" t="s">
        <v>226</v>
      </c>
      <c r="G50" s="15" t="s">
        <v>79</v>
      </c>
      <c r="H50" s="18" t="s">
        <v>80</v>
      </c>
      <c r="I50" s="8" t="n">
        <v>2</v>
      </c>
      <c r="J50" s="8" t="s">
        <v>144</v>
      </c>
      <c r="K50" s="8" t="s">
        <v>71</v>
      </c>
      <c r="L50" s="17" t="s">
        <v>72</v>
      </c>
    </row>
    <row r="51" customFormat="false" ht="23.85" hidden="false" customHeight="false" outlineLevel="0" collapsed="false">
      <c r="A51" s="8" t="s">
        <v>227</v>
      </c>
      <c r="B51" s="8" t="s">
        <v>41</v>
      </c>
      <c r="C51" s="8" t="s">
        <v>42</v>
      </c>
      <c r="D51" s="15" t="s">
        <v>224</v>
      </c>
      <c r="E51" s="9" t="s">
        <v>228</v>
      </c>
      <c r="F51" s="9" t="s">
        <v>229</v>
      </c>
      <c r="G51" s="15" t="s">
        <v>79</v>
      </c>
      <c r="H51" s="18" t="s">
        <v>80</v>
      </c>
      <c r="I51" s="8" t="n">
        <v>3</v>
      </c>
      <c r="J51" s="8" t="s">
        <v>223</v>
      </c>
      <c r="K51" s="8" t="s">
        <v>71</v>
      </c>
      <c r="L51" s="17" t="s">
        <v>72</v>
      </c>
    </row>
    <row r="52" customFormat="false" ht="23.85" hidden="false" customHeight="false" outlineLevel="0" collapsed="false">
      <c r="A52" s="8" t="s">
        <v>230</v>
      </c>
      <c r="B52" s="8" t="s">
        <v>41</v>
      </c>
      <c r="C52" s="8" t="s">
        <v>42</v>
      </c>
      <c r="D52" s="15" t="s">
        <v>224</v>
      </c>
      <c r="E52" s="9" t="s">
        <v>231</v>
      </c>
      <c r="F52" s="9" t="s">
        <v>232</v>
      </c>
      <c r="G52" s="15" t="s">
        <v>79</v>
      </c>
      <c r="H52" s="18" t="s">
        <v>80</v>
      </c>
      <c r="I52" s="8" t="n">
        <v>3</v>
      </c>
      <c r="J52" s="8" t="s">
        <v>223</v>
      </c>
      <c r="K52" s="8" t="s">
        <v>71</v>
      </c>
      <c r="L52" s="17" t="s">
        <v>72</v>
      </c>
    </row>
    <row r="53" customFormat="false" ht="23.85" hidden="false" customHeight="false" outlineLevel="0" collapsed="false">
      <c r="A53" s="8" t="s">
        <v>233</v>
      </c>
      <c r="B53" s="8" t="s">
        <v>41</v>
      </c>
      <c r="C53" s="8" t="s">
        <v>42</v>
      </c>
      <c r="D53" s="15" t="s">
        <v>224</v>
      </c>
      <c r="E53" s="9" t="s">
        <v>234</v>
      </c>
      <c r="F53" s="9" t="s">
        <v>235</v>
      </c>
      <c r="G53" s="15" t="s">
        <v>79</v>
      </c>
      <c r="H53" s="18" t="s">
        <v>80</v>
      </c>
      <c r="I53" s="8" t="n">
        <v>3</v>
      </c>
      <c r="J53" s="8" t="s">
        <v>230</v>
      </c>
      <c r="K53" s="8" t="s">
        <v>71</v>
      </c>
      <c r="L53" s="17" t="s">
        <v>72</v>
      </c>
    </row>
    <row r="54" customFormat="false" ht="23.85" hidden="false" customHeight="false" outlineLevel="0" collapsed="false">
      <c r="A54" s="8" t="s">
        <v>236</v>
      </c>
      <c r="B54" s="8" t="s">
        <v>41</v>
      </c>
      <c r="C54" s="8" t="s">
        <v>42</v>
      </c>
      <c r="D54" s="15" t="s">
        <v>224</v>
      </c>
      <c r="E54" s="9" t="s">
        <v>237</v>
      </c>
      <c r="F54" s="9" t="s">
        <v>238</v>
      </c>
      <c r="G54" s="15" t="s">
        <v>79</v>
      </c>
      <c r="H54" s="18" t="s">
        <v>80</v>
      </c>
      <c r="I54" s="8" t="n">
        <v>1</v>
      </c>
      <c r="J54" s="8" t="s">
        <v>233</v>
      </c>
      <c r="K54" s="8" t="s">
        <v>84</v>
      </c>
      <c r="L54" s="17" t="s">
        <v>72</v>
      </c>
    </row>
    <row r="55" customFormat="false" ht="23.85" hidden="false" customHeight="false" outlineLevel="0" collapsed="false">
      <c r="A55" s="8" t="s">
        <v>239</v>
      </c>
      <c r="B55" s="8" t="s">
        <v>41</v>
      </c>
      <c r="C55" s="8" t="s">
        <v>42</v>
      </c>
      <c r="D55" s="15" t="s">
        <v>224</v>
      </c>
      <c r="E55" s="9" t="s">
        <v>240</v>
      </c>
      <c r="F55" s="9" t="s">
        <v>241</v>
      </c>
      <c r="G55" s="15" t="s">
        <v>79</v>
      </c>
      <c r="H55" s="18" t="s">
        <v>80</v>
      </c>
      <c r="I55" s="8" t="n">
        <v>2</v>
      </c>
      <c r="J55" s="8" t="s">
        <v>227</v>
      </c>
      <c r="K55" s="8" t="s">
        <v>84</v>
      </c>
      <c r="L55" s="17" t="s">
        <v>72</v>
      </c>
    </row>
    <row r="56" customFormat="false" ht="23.85" hidden="false" customHeight="false" outlineLevel="0" collapsed="false">
      <c r="A56" s="8" t="s">
        <v>242</v>
      </c>
      <c r="B56" s="8" t="s">
        <v>41</v>
      </c>
      <c r="C56" s="8" t="s">
        <v>42</v>
      </c>
      <c r="D56" s="15" t="s">
        <v>86</v>
      </c>
      <c r="E56" s="19" t="s">
        <v>243</v>
      </c>
      <c r="F56" s="9" t="s">
        <v>244</v>
      </c>
      <c r="G56" s="15" t="s">
        <v>89</v>
      </c>
      <c r="H56" s="16"/>
      <c r="I56" s="8" t="n">
        <v>3</v>
      </c>
      <c r="J56" s="8" t="s">
        <v>147</v>
      </c>
      <c r="K56" s="8" t="s">
        <v>245</v>
      </c>
      <c r="L56" s="17" t="s">
        <v>72</v>
      </c>
    </row>
    <row r="57" customFormat="false" ht="23.85" hidden="false" customHeight="false" outlineLevel="0" collapsed="false">
      <c r="A57" s="8" t="s">
        <v>246</v>
      </c>
      <c r="B57" s="8" t="s">
        <v>46</v>
      </c>
      <c r="C57" s="8" t="s">
        <v>47</v>
      </c>
      <c r="D57" s="15" t="s">
        <v>224</v>
      </c>
      <c r="E57" s="9" t="s">
        <v>247</v>
      </c>
      <c r="F57" s="9" t="s">
        <v>248</v>
      </c>
      <c r="G57" s="15" t="s">
        <v>79</v>
      </c>
      <c r="H57" s="18" t="s">
        <v>80</v>
      </c>
      <c r="I57" s="8" t="n">
        <v>3</v>
      </c>
      <c r="J57" s="8" t="s">
        <v>233</v>
      </c>
      <c r="K57" s="8" t="s">
        <v>71</v>
      </c>
      <c r="L57" s="17" t="s">
        <v>72</v>
      </c>
    </row>
    <row r="58" customFormat="false" ht="23.85" hidden="false" customHeight="false" outlineLevel="0" collapsed="false">
      <c r="A58" s="8" t="s">
        <v>249</v>
      </c>
      <c r="B58" s="8" t="s">
        <v>46</v>
      </c>
      <c r="C58" s="8" t="s">
        <v>47</v>
      </c>
      <c r="D58" s="15" t="s">
        <v>104</v>
      </c>
      <c r="E58" s="9" t="s">
        <v>250</v>
      </c>
      <c r="F58" s="9" t="s">
        <v>251</v>
      </c>
      <c r="G58" s="15" t="s">
        <v>79</v>
      </c>
      <c r="H58" s="18" t="s">
        <v>80</v>
      </c>
      <c r="I58" s="8" t="n">
        <v>2</v>
      </c>
      <c r="J58" s="8" t="s">
        <v>73</v>
      </c>
      <c r="K58" s="8" t="s">
        <v>71</v>
      </c>
      <c r="L58" s="17" t="s">
        <v>72</v>
      </c>
    </row>
    <row r="59" customFormat="false" ht="23.85" hidden="false" customHeight="false" outlineLevel="0" collapsed="false">
      <c r="A59" s="8" t="s">
        <v>252</v>
      </c>
      <c r="B59" s="8" t="s">
        <v>46</v>
      </c>
      <c r="C59" s="8" t="s">
        <v>47</v>
      </c>
      <c r="D59" s="15" t="s">
        <v>104</v>
      </c>
      <c r="E59" s="9" t="s">
        <v>253</v>
      </c>
      <c r="F59" s="9" t="s">
        <v>254</v>
      </c>
      <c r="G59" s="15" t="s">
        <v>79</v>
      </c>
      <c r="H59" s="18" t="s">
        <v>80</v>
      </c>
      <c r="I59" s="8" t="n">
        <v>3</v>
      </c>
      <c r="J59" s="8" t="s">
        <v>246</v>
      </c>
      <c r="K59" s="8" t="s">
        <v>71</v>
      </c>
      <c r="L59" s="17" t="s">
        <v>72</v>
      </c>
    </row>
    <row r="60" customFormat="false" ht="23.85" hidden="false" customHeight="false" outlineLevel="0" collapsed="false">
      <c r="A60" s="8" t="s">
        <v>255</v>
      </c>
      <c r="B60" s="8" t="s">
        <v>46</v>
      </c>
      <c r="C60" s="8" t="s">
        <v>47</v>
      </c>
      <c r="D60" s="15" t="s">
        <v>104</v>
      </c>
      <c r="E60" s="9" t="s">
        <v>256</v>
      </c>
      <c r="F60" s="9" t="s">
        <v>257</v>
      </c>
      <c r="G60" s="15" t="s">
        <v>79</v>
      </c>
      <c r="H60" s="18" t="s">
        <v>80</v>
      </c>
      <c r="I60" s="8" t="n">
        <v>2</v>
      </c>
      <c r="J60" s="8" t="s">
        <v>252</v>
      </c>
      <c r="K60" s="8" t="s">
        <v>71</v>
      </c>
      <c r="L60" s="17" t="s">
        <v>72</v>
      </c>
    </row>
    <row r="61" customFormat="false" ht="23.85" hidden="false" customHeight="false" outlineLevel="0" collapsed="false">
      <c r="A61" s="8" t="s">
        <v>258</v>
      </c>
      <c r="B61" s="8" t="s">
        <v>46</v>
      </c>
      <c r="C61" s="8" t="s">
        <v>47</v>
      </c>
      <c r="D61" s="15" t="s">
        <v>224</v>
      </c>
      <c r="E61" s="9" t="s">
        <v>259</v>
      </c>
      <c r="F61" s="9" t="s">
        <v>260</v>
      </c>
      <c r="G61" s="15" t="s">
        <v>79</v>
      </c>
      <c r="H61" s="18" t="s">
        <v>80</v>
      </c>
      <c r="I61" s="8" t="n">
        <v>1</v>
      </c>
      <c r="J61" s="8" t="s">
        <v>246</v>
      </c>
      <c r="K61" s="8" t="s">
        <v>84</v>
      </c>
      <c r="L61" s="17" t="s">
        <v>72</v>
      </c>
    </row>
    <row r="62" customFormat="false" ht="23.85" hidden="false" customHeight="false" outlineLevel="0" collapsed="false">
      <c r="A62" s="8" t="s">
        <v>261</v>
      </c>
      <c r="B62" s="8" t="s">
        <v>46</v>
      </c>
      <c r="C62" s="8" t="s">
        <v>47</v>
      </c>
      <c r="D62" s="15" t="s">
        <v>157</v>
      </c>
      <c r="E62" s="9" t="s">
        <v>262</v>
      </c>
      <c r="F62" s="9" t="s">
        <v>263</v>
      </c>
      <c r="G62" s="15" t="s">
        <v>89</v>
      </c>
      <c r="H62" s="16"/>
      <c r="I62" s="8" t="n">
        <v>3</v>
      </c>
      <c r="J62" s="8" t="s">
        <v>252</v>
      </c>
      <c r="K62" s="8" t="s">
        <v>71</v>
      </c>
      <c r="L62" s="17" t="s">
        <v>72</v>
      </c>
    </row>
    <row r="63" customFormat="false" ht="15" hidden="false" customHeight="false" outlineLevel="0" collapsed="false">
      <c r="A63" s="8" t="s">
        <v>264</v>
      </c>
      <c r="B63" s="8" t="s">
        <v>46</v>
      </c>
      <c r="C63" s="8" t="s">
        <v>47</v>
      </c>
      <c r="D63" s="15" t="s">
        <v>265</v>
      </c>
      <c r="E63" s="9" t="s">
        <v>266</v>
      </c>
      <c r="F63" s="9" t="s">
        <v>267</v>
      </c>
      <c r="G63" s="15" t="s">
        <v>265</v>
      </c>
      <c r="H63" s="16"/>
      <c r="I63" s="8" t="n">
        <v>1</v>
      </c>
      <c r="J63" s="8" t="s">
        <v>261</v>
      </c>
      <c r="K63" s="8" t="s">
        <v>71</v>
      </c>
      <c r="L63" s="17" t="s">
        <v>72</v>
      </c>
    </row>
    <row r="64" customFormat="false" ht="23.85" hidden="false" customHeight="false" outlineLevel="0" collapsed="false">
      <c r="A64" s="8" t="s">
        <v>268</v>
      </c>
      <c r="B64" s="8" t="s">
        <v>46</v>
      </c>
      <c r="C64" s="8" t="s">
        <v>47</v>
      </c>
      <c r="D64" s="15" t="s">
        <v>86</v>
      </c>
      <c r="E64" s="19" t="s">
        <v>269</v>
      </c>
      <c r="F64" s="9" t="s">
        <v>270</v>
      </c>
      <c r="G64" s="15" t="s">
        <v>89</v>
      </c>
      <c r="H64" s="16"/>
      <c r="I64" s="8" t="n">
        <v>2</v>
      </c>
      <c r="J64" s="8" t="s">
        <v>261</v>
      </c>
      <c r="K64" s="8" t="s">
        <v>245</v>
      </c>
      <c r="L64" s="17" t="s">
        <v>72</v>
      </c>
    </row>
    <row r="65" customFormat="false" ht="23.85" hidden="false" customHeight="false" outlineLevel="0" collapsed="false">
      <c r="A65" s="8" t="s">
        <v>271</v>
      </c>
      <c r="B65" s="8" t="s">
        <v>50</v>
      </c>
      <c r="C65" s="8" t="s">
        <v>51</v>
      </c>
      <c r="D65" s="15" t="s">
        <v>265</v>
      </c>
      <c r="E65" s="9" t="s">
        <v>272</v>
      </c>
      <c r="F65" s="9" t="s">
        <v>273</v>
      </c>
      <c r="G65" s="15" t="s">
        <v>265</v>
      </c>
      <c r="H65" s="16"/>
      <c r="I65" s="8" t="n">
        <v>3</v>
      </c>
      <c r="J65" s="8" t="s">
        <v>261</v>
      </c>
      <c r="K65" s="8" t="s">
        <v>71</v>
      </c>
      <c r="L65" s="17" t="s">
        <v>72</v>
      </c>
    </row>
    <row r="66" customFormat="false" ht="23.85" hidden="false" customHeight="false" outlineLevel="0" collapsed="false">
      <c r="A66" s="8" t="s">
        <v>274</v>
      </c>
      <c r="B66" s="8" t="s">
        <v>50</v>
      </c>
      <c r="C66" s="8" t="s">
        <v>51</v>
      </c>
      <c r="D66" s="15" t="s">
        <v>265</v>
      </c>
      <c r="E66" s="9" t="s">
        <v>275</v>
      </c>
      <c r="F66" s="9" t="s">
        <v>276</v>
      </c>
      <c r="G66" s="15" t="s">
        <v>265</v>
      </c>
      <c r="H66" s="16"/>
      <c r="I66" s="8" t="n">
        <v>2</v>
      </c>
      <c r="J66" s="8" t="s">
        <v>271</v>
      </c>
      <c r="K66" s="8" t="s">
        <v>71</v>
      </c>
      <c r="L66" s="17" t="s">
        <v>72</v>
      </c>
    </row>
    <row r="67" customFormat="false" ht="23.85" hidden="false" customHeight="false" outlineLevel="0" collapsed="false">
      <c r="A67" s="8" t="s">
        <v>277</v>
      </c>
      <c r="B67" s="8" t="s">
        <v>50</v>
      </c>
      <c r="C67" s="8" t="s">
        <v>51</v>
      </c>
      <c r="D67" s="15" t="s">
        <v>104</v>
      </c>
      <c r="E67" s="9" t="s">
        <v>278</v>
      </c>
      <c r="F67" s="9" t="s">
        <v>279</v>
      </c>
      <c r="G67" s="15" t="s">
        <v>79</v>
      </c>
      <c r="H67" s="18" t="s">
        <v>80</v>
      </c>
      <c r="I67" s="8" t="n">
        <v>2</v>
      </c>
      <c r="J67" s="8" t="s">
        <v>126</v>
      </c>
      <c r="K67" s="8" t="s">
        <v>71</v>
      </c>
      <c r="L67" s="17" t="s">
        <v>72</v>
      </c>
    </row>
    <row r="68" customFormat="false" ht="35.05" hidden="false" customHeight="false" outlineLevel="0" collapsed="false">
      <c r="A68" s="8" t="s">
        <v>280</v>
      </c>
      <c r="B68" s="8" t="s">
        <v>50</v>
      </c>
      <c r="C68" s="8" t="s">
        <v>51</v>
      </c>
      <c r="D68" s="15" t="s">
        <v>265</v>
      </c>
      <c r="E68" s="9" t="s">
        <v>281</v>
      </c>
      <c r="F68" s="9" t="s">
        <v>282</v>
      </c>
      <c r="G68" s="15" t="s">
        <v>265</v>
      </c>
      <c r="H68" s="16"/>
      <c r="I68" s="8" t="n">
        <v>2</v>
      </c>
      <c r="J68" s="8" t="s">
        <v>258</v>
      </c>
      <c r="K68" s="8" t="s">
        <v>71</v>
      </c>
      <c r="L68" s="17" t="s">
        <v>72</v>
      </c>
    </row>
    <row r="69" customFormat="false" ht="23.85" hidden="false" customHeight="false" outlineLevel="0" collapsed="false">
      <c r="A69" s="8" t="s">
        <v>283</v>
      </c>
      <c r="B69" s="8" t="s">
        <v>50</v>
      </c>
      <c r="C69" s="8" t="s">
        <v>51</v>
      </c>
      <c r="D69" s="15" t="s">
        <v>265</v>
      </c>
      <c r="E69" s="9" t="s">
        <v>284</v>
      </c>
      <c r="F69" s="9" t="s">
        <v>285</v>
      </c>
      <c r="G69" s="15" t="s">
        <v>265</v>
      </c>
      <c r="H69" s="16"/>
      <c r="I69" s="8" t="n">
        <v>1</v>
      </c>
      <c r="J69" s="8" t="s">
        <v>271</v>
      </c>
      <c r="K69" s="8" t="s">
        <v>71</v>
      </c>
      <c r="L69" s="17" t="s">
        <v>72</v>
      </c>
    </row>
    <row r="70" customFormat="false" ht="23.85" hidden="false" customHeight="false" outlineLevel="0" collapsed="false">
      <c r="A70" s="8" t="s">
        <v>286</v>
      </c>
      <c r="B70" s="8" t="s">
        <v>50</v>
      </c>
      <c r="C70" s="8" t="s">
        <v>51</v>
      </c>
      <c r="D70" s="15" t="s">
        <v>265</v>
      </c>
      <c r="E70" s="9" t="s">
        <v>287</v>
      </c>
      <c r="F70" s="9" t="s">
        <v>288</v>
      </c>
      <c r="G70" s="15" t="s">
        <v>265</v>
      </c>
      <c r="H70" s="16"/>
      <c r="I70" s="8" t="n">
        <v>2</v>
      </c>
      <c r="J70" s="8" t="s">
        <v>280</v>
      </c>
      <c r="K70" s="8" t="s">
        <v>71</v>
      </c>
      <c r="L70" s="17" t="s">
        <v>72</v>
      </c>
    </row>
    <row r="71" customFormat="false" ht="23.85" hidden="false" customHeight="false" outlineLevel="0" collapsed="false">
      <c r="A71" s="8" t="s">
        <v>289</v>
      </c>
      <c r="B71" s="8" t="s">
        <v>50</v>
      </c>
      <c r="C71" s="8" t="s">
        <v>51</v>
      </c>
      <c r="D71" s="15" t="s">
        <v>265</v>
      </c>
      <c r="E71" s="9" t="s">
        <v>290</v>
      </c>
      <c r="F71" s="9" t="s">
        <v>291</v>
      </c>
      <c r="G71" s="15" t="s">
        <v>265</v>
      </c>
      <c r="H71" s="16"/>
      <c r="I71" s="8" t="n">
        <v>2</v>
      </c>
      <c r="J71" s="8" t="s">
        <v>286</v>
      </c>
      <c r="K71" s="8" t="s">
        <v>71</v>
      </c>
      <c r="L71" s="17" t="s">
        <v>72</v>
      </c>
    </row>
    <row r="72" customFormat="false" ht="23.85" hidden="false" customHeight="false" outlineLevel="0" collapsed="false">
      <c r="A72" s="8" t="s">
        <v>292</v>
      </c>
      <c r="B72" s="8" t="s">
        <v>50</v>
      </c>
      <c r="C72" s="8" t="s">
        <v>51</v>
      </c>
      <c r="D72" s="15" t="s">
        <v>265</v>
      </c>
      <c r="E72" s="9" t="s">
        <v>293</v>
      </c>
      <c r="F72" s="9" t="s">
        <v>294</v>
      </c>
      <c r="G72" s="15" t="s">
        <v>265</v>
      </c>
      <c r="H72" s="16"/>
      <c r="I72" s="8" t="n">
        <v>1</v>
      </c>
      <c r="J72" s="8" t="s">
        <v>289</v>
      </c>
      <c r="K72" s="8" t="s">
        <v>71</v>
      </c>
      <c r="L72" s="17" t="s">
        <v>72</v>
      </c>
    </row>
  </sheetData>
  <autoFilter ref="A1:L72"/>
  <dataValidations count="3">
    <dataValidation allowBlank="true" errorStyle="stop" operator="between" showDropDown="false" showErrorMessage="false" showInputMessage="false" sqref="L2:L72" type="list">
      <formula1>"Pendiente,En curso,Bloqueado,Hecho"</formula1>
      <formula2>0</formula2>
    </dataValidation>
    <dataValidation allowBlank="true" errorStyle="stop" operator="between" showDropDown="false" showErrorMessage="false" showInputMessage="false" sqref="K2:K72" type="list">
      <formula1>"Alta,Media,Baja"</formula1>
      <formula2>0</formula2>
    </dataValidation>
    <dataValidation allowBlank="true" errorStyle="stop" operator="between" showDropDown="false" showErrorMessage="false" showInputMessage="false" sqref="H2:H72" type="list">
      <formula1>"Felipe Cayún,Joaquín Herrera,Luciano Zambrano,Equipo"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52"/>
    <col collapsed="false" customWidth="true" hidden="false" outlineLevel="0" max="7" min="7" style="0" width="42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1" t="s">
        <v>295</v>
      </c>
    </row>
    <row r="3" customFormat="false" ht="30" hidden="false" customHeight="true" outlineLevel="0" collapsed="false">
      <c r="A3" s="6" t="s">
        <v>57</v>
      </c>
      <c r="B3" s="6" t="s">
        <v>296</v>
      </c>
      <c r="C3" s="6" t="s">
        <v>297</v>
      </c>
      <c r="D3" s="6" t="s">
        <v>298</v>
      </c>
      <c r="E3" s="6" t="s">
        <v>299</v>
      </c>
      <c r="F3" s="6" t="s">
        <v>300</v>
      </c>
      <c r="G3" s="6" t="s">
        <v>301</v>
      </c>
      <c r="H3" s="6" t="s">
        <v>302</v>
      </c>
    </row>
    <row r="4" customFormat="false" ht="45.75" hidden="false" customHeight="true" outlineLevel="0" collapsed="false">
      <c r="A4" s="20" t="s">
        <v>303</v>
      </c>
      <c r="B4" s="9" t="s">
        <v>304</v>
      </c>
      <c r="C4" s="21" t="n">
        <v>4</v>
      </c>
      <c r="D4" s="21" t="n">
        <v>5</v>
      </c>
      <c r="E4" s="22" t="n">
        <f aca="false">C4*D4</f>
        <v>20</v>
      </c>
      <c r="F4" s="9" t="s">
        <v>305</v>
      </c>
      <c r="G4" s="9" t="s">
        <v>306</v>
      </c>
      <c r="H4" s="20" t="s">
        <v>15</v>
      </c>
    </row>
    <row r="5" customFormat="false" ht="45.75" hidden="false" customHeight="true" outlineLevel="0" collapsed="false">
      <c r="A5" s="20" t="s">
        <v>307</v>
      </c>
      <c r="B5" s="9" t="s">
        <v>308</v>
      </c>
      <c r="C5" s="21" t="n">
        <v>4</v>
      </c>
      <c r="D5" s="21" t="n">
        <v>3</v>
      </c>
      <c r="E5" s="22" t="n">
        <f aca="false">C5*D5</f>
        <v>12</v>
      </c>
      <c r="F5" s="9" t="s">
        <v>309</v>
      </c>
      <c r="G5" s="9" t="s">
        <v>310</v>
      </c>
      <c r="H5" s="20" t="s">
        <v>28</v>
      </c>
    </row>
    <row r="6" customFormat="false" ht="45.75" hidden="false" customHeight="true" outlineLevel="0" collapsed="false">
      <c r="A6" s="20" t="s">
        <v>311</v>
      </c>
      <c r="B6" s="9" t="s">
        <v>312</v>
      </c>
      <c r="C6" s="21" t="n">
        <v>3</v>
      </c>
      <c r="D6" s="21" t="n">
        <v>5</v>
      </c>
      <c r="E6" s="22" t="n">
        <f aca="false">C6*D6</f>
        <v>15</v>
      </c>
      <c r="F6" s="9" t="s">
        <v>313</v>
      </c>
      <c r="G6" s="9" t="s">
        <v>314</v>
      </c>
      <c r="H6" s="20" t="s">
        <v>15</v>
      </c>
    </row>
    <row r="7" customFormat="false" ht="45.75" hidden="false" customHeight="true" outlineLevel="0" collapsed="false">
      <c r="A7" s="20" t="s">
        <v>315</v>
      </c>
      <c r="B7" s="9" t="s">
        <v>316</v>
      </c>
      <c r="C7" s="21" t="n">
        <v>4</v>
      </c>
      <c r="D7" s="21" t="n">
        <v>4</v>
      </c>
      <c r="E7" s="22" t="n">
        <f aca="false">C7*D7</f>
        <v>16</v>
      </c>
      <c r="F7" s="9" t="s">
        <v>317</v>
      </c>
      <c r="G7" s="9" t="s">
        <v>318</v>
      </c>
      <c r="H7" s="20" t="s">
        <v>41</v>
      </c>
    </row>
    <row r="8" customFormat="false" ht="45.75" hidden="false" customHeight="true" outlineLevel="0" collapsed="false">
      <c r="A8" s="20" t="s">
        <v>319</v>
      </c>
      <c r="B8" s="9" t="s">
        <v>320</v>
      </c>
      <c r="C8" s="21" t="n">
        <v>4</v>
      </c>
      <c r="D8" s="21" t="n">
        <v>3</v>
      </c>
      <c r="E8" s="22" t="n">
        <f aca="false">C8*D8</f>
        <v>12</v>
      </c>
      <c r="F8" s="9" t="s">
        <v>321</v>
      </c>
      <c r="G8" s="9" t="s">
        <v>322</v>
      </c>
      <c r="H8" s="20" t="s">
        <v>41</v>
      </c>
    </row>
    <row r="9" customFormat="false" ht="45.75" hidden="false" customHeight="true" outlineLevel="0" collapsed="false">
      <c r="A9" s="20" t="s">
        <v>323</v>
      </c>
      <c r="B9" s="9" t="s">
        <v>324</v>
      </c>
      <c r="C9" s="21" t="n">
        <v>2</v>
      </c>
      <c r="D9" s="21" t="n">
        <v>3</v>
      </c>
      <c r="E9" s="22" t="n">
        <f aca="false">C9*D9</f>
        <v>6</v>
      </c>
      <c r="F9" s="9" t="s">
        <v>325</v>
      </c>
      <c r="G9" s="9" t="s">
        <v>326</v>
      </c>
      <c r="H9" s="20" t="s">
        <v>15</v>
      </c>
    </row>
    <row r="10" customFormat="false" ht="45.75" hidden="false" customHeight="true" outlineLevel="0" collapsed="false">
      <c r="A10" s="20" t="s">
        <v>327</v>
      </c>
      <c r="B10" s="9" t="s">
        <v>328</v>
      </c>
      <c r="C10" s="21" t="n">
        <v>3</v>
      </c>
      <c r="D10" s="21" t="n">
        <v>4</v>
      </c>
      <c r="E10" s="22" t="n">
        <f aca="false">C10*D10</f>
        <v>12</v>
      </c>
      <c r="F10" s="9" t="s">
        <v>329</v>
      </c>
      <c r="G10" s="9" t="s">
        <v>330</v>
      </c>
      <c r="H10" s="20" t="s">
        <v>50</v>
      </c>
    </row>
    <row r="11" customFormat="false" ht="45.75" hidden="false" customHeight="true" outlineLevel="0" collapsed="false">
      <c r="A11" s="20" t="s">
        <v>331</v>
      </c>
      <c r="B11" s="9" t="s">
        <v>332</v>
      </c>
      <c r="C11" s="21" t="n">
        <v>3</v>
      </c>
      <c r="D11" s="21" t="n">
        <v>3</v>
      </c>
      <c r="E11" s="22" t="n">
        <f aca="false">C11*D11</f>
        <v>9</v>
      </c>
      <c r="F11" s="9" t="s">
        <v>333</v>
      </c>
      <c r="G11" s="9" t="s">
        <v>334</v>
      </c>
      <c r="H11" s="20" t="s">
        <v>50</v>
      </c>
    </row>
    <row r="13" customFormat="false" ht="15" hidden="false" customHeight="false" outlineLevel="0" collapsed="false">
      <c r="A13" s="5" t="s">
        <v>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2"/>
  </cols>
  <sheetData>
    <row r="1" customFormat="false" ht="17.35" hidden="false" customHeight="false" outlineLevel="0" collapsed="false">
      <c r="A1" s="23" t="s">
        <v>336</v>
      </c>
    </row>
    <row r="3" customFormat="false" ht="15" hidden="false" customHeight="false" outlineLevel="0" collapsed="false">
      <c r="A3" s="24" t="s">
        <v>337</v>
      </c>
      <c r="B3" s="25"/>
    </row>
    <row r="4" customFormat="false" ht="30" hidden="false" customHeight="true" outlineLevel="0" collapsed="false">
      <c r="A4" s="26" t="s">
        <v>338</v>
      </c>
      <c r="B4" s="9" t="s">
        <v>339</v>
      </c>
    </row>
    <row r="5" customFormat="false" ht="30" hidden="false" customHeight="true" outlineLevel="0" collapsed="false">
      <c r="A5" s="26" t="s">
        <v>340</v>
      </c>
      <c r="B5" s="9" t="s">
        <v>341</v>
      </c>
    </row>
    <row r="6" customFormat="false" ht="30" hidden="false" customHeight="true" outlineLevel="0" collapsed="false">
      <c r="A6" s="26" t="s">
        <v>342</v>
      </c>
      <c r="B6" s="9" t="s">
        <v>343</v>
      </c>
    </row>
    <row r="7" customFormat="false" ht="30" hidden="false" customHeight="true" outlineLevel="0" collapsed="false">
      <c r="A7" s="26" t="s">
        <v>344</v>
      </c>
      <c r="B7" s="9" t="s">
        <v>345</v>
      </c>
    </row>
    <row r="8" customFormat="false" ht="30" hidden="false" customHeight="true" outlineLevel="0" collapsed="false">
      <c r="A8" s="26" t="s">
        <v>346</v>
      </c>
      <c r="B8" s="9" t="s">
        <v>347</v>
      </c>
    </row>
    <row r="10" customFormat="false" ht="15" hidden="false" customHeight="false" outlineLevel="0" collapsed="false">
      <c r="A10" s="24" t="s">
        <v>348</v>
      </c>
      <c r="B10" s="25"/>
    </row>
    <row r="11" customFormat="false" ht="30" hidden="false" customHeight="true" outlineLevel="0" collapsed="false">
      <c r="A11" s="26" t="s">
        <v>349</v>
      </c>
      <c r="B11" s="9" t="s">
        <v>350</v>
      </c>
    </row>
    <row r="12" customFormat="false" ht="30" hidden="false" customHeight="true" outlineLevel="0" collapsed="false">
      <c r="A12" s="26" t="s">
        <v>351</v>
      </c>
      <c r="B12" s="9" t="s">
        <v>352</v>
      </c>
    </row>
    <row r="13" customFormat="false" ht="30" hidden="false" customHeight="true" outlineLevel="0" collapsed="false">
      <c r="A13" s="26" t="s">
        <v>353</v>
      </c>
      <c r="B13" s="9" t="s">
        <v>354</v>
      </c>
    </row>
    <row r="14" customFormat="false" ht="30" hidden="false" customHeight="true" outlineLevel="0" collapsed="false">
      <c r="A14" s="26" t="s">
        <v>355</v>
      </c>
      <c r="B14" s="9" t="s">
        <v>356</v>
      </c>
    </row>
    <row r="16" customFormat="false" ht="15" hidden="false" customHeight="false" outlineLevel="0" collapsed="false">
      <c r="A16" s="24" t="s">
        <v>357</v>
      </c>
      <c r="B16" s="25"/>
    </row>
    <row r="17" customFormat="false" ht="43.5" hidden="false" customHeight="true" outlineLevel="0" collapsed="false">
      <c r="A17" s="26" t="s">
        <v>358</v>
      </c>
      <c r="B17" s="9" t="s">
        <v>359</v>
      </c>
    </row>
    <row r="19" customFormat="false" ht="15" hidden="false" customHeight="false" outlineLevel="0" collapsed="false">
      <c r="A19" s="24" t="s">
        <v>360</v>
      </c>
      <c r="B19" s="25"/>
    </row>
    <row r="20" customFormat="false" ht="43.5" hidden="false" customHeight="true" outlineLevel="0" collapsed="false">
      <c r="A20" s="26" t="s">
        <v>361</v>
      </c>
      <c r="B20" s="9" t="s">
        <v>362</v>
      </c>
    </row>
    <row r="21" customFormat="false" ht="43.5" hidden="false" customHeight="true" outlineLevel="0" collapsed="false">
      <c r="A21" s="26" t="s">
        <v>363</v>
      </c>
      <c r="B21" s="9" t="s">
        <v>364</v>
      </c>
    </row>
    <row r="22" customFormat="false" ht="43.5" hidden="false" customHeight="true" outlineLevel="0" collapsed="false">
      <c r="A22" s="26" t="s">
        <v>365</v>
      </c>
      <c r="B22" s="9" t="s">
        <v>366</v>
      </c>
    </row>
    <row r="23" customFormat="false" ht="30" hidden="false" customHeight="true" outlineLevel="0" collapsed="false">
      <c r="A23" s="26" t="s">
        <v>367</v>
      </c>
      <c r="B23" s="9" t="s">
        <v>368</v>
      </c>
    </row>
    <row r="25" customFormat="false" ht="15" hidden="false" customHeight="false" outlineLevel="0" collapsed="false">
      <c r="A25" s="24" t="s">
        <v>369</v>
      </c>
      <c r="B25" s="25"/>
    </row>
    <row r="26" customFormat="false" ht="43.5" hidden="false" customHeight="true" outlineLevel="0" collapsed="false">
      <c r="A26" s="26" t="s">
        <v>370</v>
      </c>
      <c r="B26" s="9" t="s">
        <v>371</v>
      </c>
    </row>
    <row r="27" customFormat="false" ht="43.5" hidden="false" customHeight="true" outlineLevel="0" collapsed="false">
      <c r="A27" s="26" t="s">
        <v>372</v>
      </c>
      <c r="B27" s="9" t="s">
        <v>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2026-09-08T22:46:16Z</dcterms:created>
  <dc:creator>openpyxl</dc:creator>
  <dc:description/>
  <dc:language>en-US</dc:language>
  <cp:lastModifiedBy/>
  <dcterms:modified xsi:type="dcterms:W3CDTF">2026-09-08T22:46:17Z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